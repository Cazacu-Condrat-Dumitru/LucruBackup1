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ma\OneDrive\Documents\0Lucru\Borderou\2025-2026 Semestru II\"/>
    </mc:Choice>
  </mc:AlternateContent>
  <xr:revisionPtr revIDLastSave="0" documentId="13_ncr:1_{7CE11865-5977-42CC-8A6D-09AC87DCCC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bruarie 2026" sheetId="6" r:id="rId1"/>
  </sheets>
  <externalReferences>
    <externalReference r:id="rId2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4" i="6" l="1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5" i="6"/>
  <c r="AF6" i="6"/>
  <c r="AF7" i="6"/>
  <c r="AG7" i="6" s="1"/>
  <c r="AG4" i="6" l="1"/>
  <c r="AH4" i="6" s="1"/>
  <c r="AG5" i="6"/>
  <c r="AG6" i="6"/>
  <c r="AH6" i="6" s="1"/>
  <c r="AH7" i="6"/>
  <c r="AH5" i="6"/>
  <c r="AF9" i="6"/>
  <c r="AG9" i="6" l="1"/>
  <c r="AH9" i="6"/>
</calcChain>
</file>

<file path=xl/sharedStrings.xml><?xml version="1.0" encoding="utf-8"?>
<sst xmlns="http://schemas.openxmlformats.org/spreadsheetml/2006/main" count="19" uniqueCount="17">
  <si>
    <t xml:space="preserve">BORDEROUL ORELOR PROMOVATE ÎN LUNA  </t>
  </si>
  <si>
    <t>ORE TARIFICATE</t>
  </si>
  <si>
    <t>TOTAL ORE PROMOVATE</t>
  </si>
  <si>
    <t>TOTAL ORE RĂMASE</t>
  </si>
  <si>
    <t>Grupa</t>
  </si>
  <si>
    <t>Disciplina</t>
  </si>
  <si>
    <t>Cazacu Condrat Dumitru</t>
  </si>
  <si>
    <t>Utilizarea sistemelor de operare în reţea</t>
  </si>
  <si>
    <t>Promovarea produselor software</t>
  </si>
  <si>
    <t>DW-224</t>
  </si>
  <si>
    <t>DWR-224</t>
  </si>
  <si>
    <t>BDR-422</t>
  </si>
  <si>
    <t>AW-422</t>
  </si>
  <si>
    <t>Semnătura profesorului______________________ Cazacu- Condrat Dumitru</t>
  </si>
  <si>
    <t>TOTAL ORE PROMOVATE  LUNA CURENTĂ</t>
  </si>
  <si>
    <r>
      <t xml:space="preserve"> </t>
    </r>
    <r>
      <rPr>
        <b/>
        <sz val="10"/>
        <color theme="1"/>
        <rFont val="Calibri"/>
        <family val="2"/>
        <scheme val="minor"/>
      </rPr>
      <t xml:space="preserve">Total ore pe zi </t>
    </r>
  </si>
  <si>
    <t>Februarie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</si>
</sst>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2" xfId="0" applyFont="1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textRotation="90"/>
    </xf>
    <xf numFmtId="0" fontId="2" fillId="2" borderId="7" xfId="0" applyFont="1" applyFill="1" applyBorder="1" applyAlignment="1">
      <alignment horizontal="justify" vertical="center"/>
    </xf>
    <xf numFmtId="0" fontId="3" fillId="2" borderId="7" xfId="0" applyFont="1" applyFill="1" applyBorder="1" applyAlignment="1">
      <alignment horizontal="justify" vertical="center"/>
    </xf>
    <xf numFmtId="0" fontId="2" fillId="0" borderId="7" xfId="0" applyFont="1" applyBorder="1" applyAlignment="1">
      <alignment horizontal="right" vertical="center" textRotation="90" wrapText="1"/>
    </xf>
    <xf numFmtId="0" fontId="2" fillId="0" borderId="2" xfId="0" applyFont="1" applyBorder="1" applyAlignment="1">
      <alignment horizontal="right" vertical="center" textRotation="90" wrapText="1"/>
    </xf>
    <xf numFmtId="0" fontId="2" fillId="0" borderId="7" xfId="0" applyFont="1" applyBorder="1" applyAlignment="1">
      <alignment horizontal="right" vertical="center" textRotation="90"/>
    </xf>
    <xf numFmtId="0" fontId="2" fillId="0" borderId="14" xfId="0" applyFont="1" applyBorder="1"/>
    <xf numFmtId="0" fontId="2" fillId="0" borderId="4" xfId="0" applyFont="1" applyBorder="1"/>
    <xf numFmtId="0" fontId="2" fillId="2" borderId="17" xfId="0" applyFont="1" applyFill="1" applyBorder="1" applyAlignment="1">
      <alignment horizontal="center" textRotation="90"/>
    </xf>
    <xf numFmtId="0" fontId="2" fillId="2" borderId="4" xfId="0" applyFont="1" applyFill="1" applyBorder="1" applyAlignment="1">
      <alignment horizontal="justify" vertical="center"/>
    </xf>
    <xf numFmtId="0" fontId="3" fillId="2" borderId="4" xfId="0" applyFont="1" applyFill="1" applyBorder="1" applyAlignment="1">
      <alignment horizontal="justify" vertical="center"/>
    </xf>
    <xf numFmtId="0" fontId="2" fillId="0" borderId="4" xfId="0" applyFont="1" applyBorder="1" applyAlignment="1">
      <alignment horizontal="right" vertical="center" textRotation="90" wrapText="1"/>
    </xf>
    <xf numFmtId="0" fontId="2" fillId="0" borderId="4" xfId="0" applyFont="1" applyBorder="1" applyAlignment="1">
      <alignment horizontal="right" vertical="center" textRotation="90"/>
    </xf>
    <xf numFmtId="0" fontId="1" fillId="0" borderId="5" xfId="0" applyFont="1" applyBorder="1" applyAlignment="1">
      <alignment wrapText="1"/>
    </xf>
    <xf numFmtId="0" fontId="2" fillId="0" borderId="4" xfId="0" applyFont="1" applyBorder="1" applyAlignment="1">
      <alignment horizontal="left"/>
    </xf>
    <xf numFmtId="0" fontId="2" fillId="2" borderId="1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1" fillId="0" borderId="6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2" fillId="0" borderId="7" xfId="0" applyFont="1" applyBorder="1" applyAlignment="1">
      <alignment horizontal="left"/>
    </xf>
    <xf numFmtId="0" fontId="2" fillId="0" borderId="16" xfId="0" applyFont="1" applyBorder="1"/>
    <xf numFmtId="0" fontId="2" fillId="0" borderId="10" xfId="0" applyFont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1" fillId="0" borderId="19" xfId="0" applyFont="1" applyBorder="1"/>
    <xf numFmtId="0" fontId="1" fillId="0" borderId="18" xfId="0" applyFont="1" applyBorder="1"/>
    <xf numFmtId="0" fontId="2" fillId="2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ma\Downloads\Borderou_1.1%20Cazacu-%20Condrat%20Dumitru.xlsx" TargetMode="External"/><Relationship Id="rId1" Type="http://schemas.openxmlformats.org/officeDocument/2006/relationships/externalLinkPath" Target="/Users/Dima/Downloads/Borderou_1.1%20Cazacu-%20Condrat%20Dumitr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anuarie 2026"/>
      <sheetName val="Februarie 2026"/>
    </sheetNames>
    <sheetDataSet>
      <sheetData sheetId="0">
        <row r="4">
          <cell r="AI4">
            <v>15</v>
          </cell>
        </row>
        <row r="5">
          <cell r="AI5">
            <v>15</v>
          </cell>
        </row>
        <row r="6">
          <cell r="AI6">
            <v>10</v>
          </cell>
        </row>
        <row r="7">
          <cell r="AI7">
            <v>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6897-6CB4-4DB0-99DF-DCD40452091C}">
  <dimension ref="A1:AH11"/>
  <sheetViews>
    <sheetView tabSelected="1" zoomScale="85" zoomScaleNormal="85" workbookViewId="0">
      <selection activeCell="AG7" sqref="AG7"/>
    </sheetView>
  </sheetViews>
  <sheetFormatPr defaultRowHeight="13" x14ac:dyDescent="0.3"/>
  <cols>
    <col min="1" max="1" width="12.08984375" style="1" customWidth="1"/>
    <col min="2" max="2" width="10.6328125" style="1" customWidth="1"/>
    <col min="3" max="3" width="7" style="1" customWidth="1"/>
    <col min="4" max="4" width="11.26953125" style="1" customWidth="1"/>
    <col min="5" max="12" width="2.6328125" style="1" customWidth="1"/>
    <col min="13" max="13" width="3.36328125" style="1" customWidth="1"/>
    <col min="14" max="15" width="3.08984375" style="1" customWidth="1"/>
    <col min="16" max="16" width="2.90625" style="1" customWidth="1"/>
    <col min="17" max="17" width="3.36328125" style="1" customWidth="1"/>
    <col min="18" max="18" width="3.453125" style="1" customWidth="1"/>
    <col min="19" max="19" width="3.08984375" style="1" customWidth="1"/>
    <col min="20" max="21" width="3.36328125" style="1" customWidth="1"/>
    <col min="22" max="22" width="3.453125" style="1" customWidth="1"/>
    <col min="23" max="23" width="3.08984375" style="1" customWidth="1"/>
    <col min="24" max="24" width="3" style="1" customWidth="1"/>
    <col min="25" max="25" width="3.08984375" style="1" customWidth="1"/>
    <col min="26" max="28" width="3" style="1" customWidth="1"/>
    <col min="29" max="30" width="3.08984375" style="1" customWidth="1"/>
    <col min="31" max="31" width="3" style="1" customWidth="1"/>
    <col min="32" max="32" width="8.08984375" style="1" customWidth="1"/>
    <col min="33" max="33" width="5.36328125" style="1" customWidth="1"/>
    <col min="34" max="34" width="4.90625" style="1" customWidth="1"/>
    <col min="35" max="16384" width="8.7265625" style="1"/>
  </cols>
  <sheetData>
    <row r="1" spans="1:34" x14ac:dyDescent="0.3">
      <c r="B1" s="2" t="s">
        <v>6</v>
      </c>
      <c r="E1" s="1" t="s">
        <v>0</v>
      </c>
      <c r="U1" s="46" t="s">
        <v>16</v>
      </c>
      <c r="V1" s="46"/>
      <c r="W1" s="46"/>
      <c r="X1" s="46"/>
      <c r="Y1" s="46"/>
      <c r="AA1" s="46">
        <v>2026</v>
      </c>
      <c r="AB1" s="46"/>
      <c r="AC1" s="46"/>
    </row>
    <row r="2" spans="1:34" ht="96.65" customHeight="1" x14ac:dyDescent="0.3">
      <c r="A2" s="3"/>
      <c r="B2" s="4"/>
      <c r="C2" s="5" t="s">
        <v>1</v>
      </c>
      <c r="D2" s="6">
        <v>1</v>
      </c>
      <c r="E2" s="6">
        <v>2</v>
      </c>
      <c r="F2" s="6">
        <v>3</v>
      </c>
      <c r="G2" s="6">
        <v>4</v>
      </c>
      <c r="H2" s="6">
        <v>5</v>
      </c>
      <c r="I2" s="6">
        <v>6</v>
      </c>
      <c r="J2" s="7">
        <v>7</v>
      </c>
      <c r="K2" s="7">
        <v>8</v>
      </c>
      <c r="L2" s="6">
        <v>9</v>
      </c>
      <c r="M2" s="6">
        <v>10</v>
      </c>
      <c r="N2" s="6">
        <v>11</v>
      </c>
      <c r="O2" s="6">
        <v>12</v>
      </c>
      <c r="P2" s="6">
        <v>13</v>
      </c>
      <c r="Q2" s="6">
        <v>14</v>
      </c>
      <c r="R2" s="6">
        <v>15</v>
      </c>
      <c r="S2" s="6">
        <v>16</v>
      </c>
      <c r="T2" s="6">
        <v>17</v>
      </c>
      <c r="U2" s="6">
        <v>18</v>
      </c>
      <c r="V2" s="6">
        <v>19</v>
      </c>
      <c r="W2" s="6">
        <v>20</v>
      </c>
      <c r="X2" s="6">
        <v>21</v>
      </c>
      <c r="Y2" s="6">
        <v>22</v>
      </c>
      <c r="Z2" s="6">
        <v>23</v>
      </c>
      <c r="AA2" s="6">
        <v>24</v>
      </c>
      <c r="AB2" s="6">
        <v>25</v>
      </c>
      <c r="AC2" s="6">
        <v>26</v>
      </c>
      <c r="AD2" s="6">
        <v>27</v>
      </c>
      <c r="AE2" s="6">
        <v>28</v>
      </c>
      <c r="AF2" s="8" t="s">
        <v>14</v>
      </c>
      <c r="AG2" s="9" t="s">
        <v>2</v>
      </c>
      <c r="AH2" s="10" t="s">
        <v>3</v>
      </c>
    </row>
    <row r="3" spans="1:34" ht="15" customHeight="1" x14ac:dyDescent="0.3">
      <c r="A3" s="11" t="s">
        <v>5</v>
      </c>
      <c r="B3" s="12" t="s">
        <v>4</v>
      </c>
      <c r="C3" s="13"/>
      <c r="D3" s="14"/>
      <c r="E3" s="14"/>
      <c r="F3" s="14"/>
      <c r="G3" s="14"/>
      <c r="H3" s="14"/>
      <c r="I3" s="14"/>
      <c r="J3" s="15"/>
      <c r="K3" s="15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6"/>
      <c r="AG3" s="16"/>
      <c r="AH3" s="17"/>
    </row>
    <row r="4" spans="1:34" ht="34.25" customHeight="1" x14ac:dyDescent="0.3">
      <c r="A4" s="18" t="s">
        <v>7</v>
      </c>
      <c r="B4" s="19" t="s">
        <v>9</v>
      </c>
      <c r="C4" s="20">
        <v>77</v>
      </c>
      <c r="D4" s="21"/>
      <c r="E4" s="21"/>
      <c r="F4" s="21">
        <v>4</v>
      </c>
      <c r="G4" s="21">
        <v>1</v>
      </c>
      <c r="H4" s="21"/>
      <c r="I4" s="21"/>
      <c r="J4" s="22"/>
      <c r="K4" s="22"/>
      <c r="L4" s="21"/>
      <c r="M4" s="21">
        <v>4</v>
      </c>
      <c r="N4" s="21">
        <v>1</v>
      </c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3">
        <f>SUM(D4:AE4)</f>
        <v>10</v>
      </c>
      <c r="AG4" s="24">
        <f>'[1]Ianuarie 2026'!AI4 + AF4</f>
        <v>25</v>
      </c>
      <c r="AH4" s="25">
        <f>C4-AG4</f>
        <v>52</v>
      </c>
    </row>
    <row r="5" spans="1:34" ht="52" x14ac:dyDescent="0.3">
      <c r="A5" s="18" t="s">
        <v>7</v>
      </c>
      <c r="B5" s="19" t="s">
        <v>10</v>
      </c>
      <c r="C5" s="20">
        <v>78</v>
      </c>
      <c r="D5" s="21"/>
      <c r="E5" s="21"/>
      <c r="F5" s="21"/>
      <c r="G5" s="21"/>
      <c r="H5" s="21">
        <v>1</v>
      </c>
      <c r="I5" s="21">
        <v>4</v>
      </c>
      <c r="J5" s="22"/>
      <c r="K5" s="22"/>
      <c r="L5" s="21"/>
      <c r="M5" s="21"/>
      <c r="N5" s="21"/>
      <c r="O5" s="21">
        <v>1</v>
      </c>
      <c r="P5" s="21">
        <v>4</v>
      </c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3">
        <f>SUM(D5:AE5)</f>
        <v>10</v>
      </c>
      <c r="AG5" s="24">
        <f>'[1]Ianuarie 2026'!AI5 + AF5</f>
        <v>25</v>
      </c>
      <c r="AH5" s="25">
        <f>C5-AG5</f>
        <v>53</v>
      </c>
    </row>
    <row r="6" spans="1:34" ht="39" x14ac:dyDescent="0.3">
      <c r="A6" s="26" t="s">
        <v>8</v>
      </c>
      <c r="B6" s="19" t="s">
        <v>11</v>
      </c>
      <c r="C6" s="20">
        <v>40</v>
      </c>
      <c r="D6" s="21"/>
      <c r="E6" s="21">
        <v>2</v>
      </c>
      <c r="F6" s="21"/>
      <c r="G6" s="21"/>
      <c r="H6" s="21"/>
      <c r="I6" s="21"/>
      <c r="J6" s="22">
        <v>1</v>
      </c>
      <c r="K6" s="22"/>
      <c r="L6" s="21">
        <v>2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3">
        <f>SUM(D6:AE6)</f>
        <v>5</v>
      </c>
      <c r="AG6" s="24">
        <f>'[1]Ianuarie 2026'!AI6 + AF6</f>
        <v>15</v>
      </c>
      <c r="AH6" s="25">
        <f>C6-AG6</f>
        <v>25</v>
      </c>
    </row>
    <row r="7" spans="1:34" ht="39.5" thickBot="1" x14ac:dyDescent="0.35">
      <c r="A7" s="27" t="s">
        <v>8</v>
      </c>
      <c r="B7" s="28" t="s">
        <v>12</v>
      </c>
      <c r="C7" s="20">
        <v>40</v>
      </c>
      <c r="D7" s="21"/>
      <c r="E7" s="21"/>
      <c r="F7" s="21"/>
      <c r="G7" s="21">
        <v>2</v>
      </c>
      <c r="H7" s="21"/>
      <c r="I7" s="21"/>
      <c r="J7" s="22">
        <v>1</v>
      </c>
      <c r="K7" s="22"/>
      <c r="L7" s="21"/>
      <c r="M7" s="21"/>
      <c r="N7" s="21">
        <v>2</v>
      </c>
      <c r="O7" s="21"/>
      <c r="P7" s="21"/>
      <c r="Q7" s="21">
        <v>1</v>
      </c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3">
        <f>SUM(D7:AE7)</f>
        <v>6</v>
      </c>
      <c r="AG7" s="24">
        <f>'[1]Ianuarie 2026'!AI7 + AF7</f>
        <v>14</v>
      </c>
      <c r="AH7" s="25">
        <f>C7-AG7</f>
        <v>26</v>
      </c>
    </row>
    <row r="8" spans="1:34" ht="13.5" thickBot="1" x14ac:dyDescent="0.35">
      <c r="A8" s="29"/>
      <c r="B8" s="30"/>
      <c r="C8" s="31"/>
      <c r="D8" s="32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4"/>
      <c r="AG8" s="35"/>
      <c r="AH8" s="36"/>
    </row>
    <row r="9" spans="1:34" ht="13.5" thickBot="1" x14ac:dyDescent="0.35">
      <c r="A9" s="37" t="s">
        <v>15</v>
      </c>
      <c r="B9" s="38"/>
      <c r="C9" s="39"/>
      <c r="D9" s="39">
        <f>SUM(D4:D7)</f>
        <v>0</v>
      </c>
      <c r="E9" s="39">
        <f t="shared" ref="E9:AE9" si="0">SUM(E4:E7)</f>
        <v>2</v>
      </c>
      <c r="F9" s="39">
        <f t="shared" si="0"/>
        <v>4</v>
      </c>
      <c r="G9" s="39">
        <f t="shared" si="0"/>
        <v>3</v>
      </c>
      <c r="H9" s="39">
        <f t="shared" si="0"/>
        <v>1</v>
      </c>
      <c r="I9" s="39">
        <f t="shared" si="0"/>
        <v>4</v>
      </c>
      <c r="J9" s="39">
        <f t="shared" si="0"/>
        <v>2</v>
      </c>
      <c r="K9" s="39">
        <f t="shared" si="0"/>
        <v>0</v>
      </c>
      <c r="L9" s="39">
        <f t="shared" si="0"/>
        <v>2</v>
      </c>
      <c r="M9" s="39">
        <f t="shared" si="0"/>
        <v>4</v>
      </c>
      <c r="N9" s="39">
        <f t="shared" si="0"/>
        <v>3</v>
      </c>
      <c r="O9" s="39">
        <f t="shared" si="0"/>
        <v>1</v>
      </c>
      <c r="P9" s="39">
        <f t="shared" si="0"/>
        <v>4</v>
      </c>
      <c r="Q9" s="39">
        <f t="shared" si="0"/>
        <v>1</v>
      </c>
      <c r="R9" s="39">
        <f t="shared" si="0"/>
        <v>0</v>
      </c>
      <c r="S9" s="39">
        <f t="shared" si="0"/>
        <v>0</v>
      </c>
      <c r="T9" s="39">
        <f t="shared" si="0"/>
        <v>0</v>
      </c>
      <c r="U9" s="39">
        <f t="shared" si="0"/>
        <v>0</v>
      </c>
      <c r="V9" s="39">
        <f t="shared" si="0"/>
        <v>0</v>
      </c>
      <c r="W9" s="39">
        <f t="shared" si="0"/>
        <v>0</v>
      </c>
      <c r="X9" s="39">
        <f t="shared" si="0"/>
        <v>0</v>
      </c>
      <c r="Y9" s="39">
        <f t="shared" si="0"/>
        <v>0</v>
      </c>
      <c r="Z9" s="39">
        <f t="shared" si="0"/>
        <v>0</v>
      </c>
      <c r="AA9" s="39">
        <f t="shared" si="0"/>
        <v>0</v>
      </c>
      <c r="AB9" s="39">
        <f t="shared" si="0"/>
        <v>0</v>
      </c>
      <c r="AC9" s="39">
        <f t="shared" si="0"/>
        <v>0</v>
      </c>
      <c r="AD9" s="39">
        <f t="shared" si="0"/>
        <v>0</v>
      </c>
      <c r="AE9" s="39">
        <f t="shared" si="0"/>
        <v>0</v>
      </c>
      <c r="AF9" s="40">
        <f>SUM(D9:AE9)</f>
        <v>31</v>
      </c>
      <c r="AG9" s="41">
        <f>SUM(AG4:AG7)</f>
        <v>79</v>
      </c>
      <c r="AH9" s="36">
        <f>SUM(AH4:AH7)</f>
        <v>156</v>
      </c>
    </row>
    <row r="10" spans="1:34" x14ac:dyDescent="0.3">
      <c r="D10" s="42"/>
      <c r="E10" s="42"/>
      <c r="F10" s="42"/>
      <c r="G10" s="42"/>
      <c r="H10" s="42"/>
      <c r="I10" s="42"/>
      <c r="J10" s="43"/>
      <c r="K10" s="43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4"/>
      <c r="AG10" s="44"/>
    </row>
    <row r="11" spans="1:34" x14ac:dyDescent="0.3">
      <c r="J11" s="45" t="s">
        <v>13</v>
      </c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</row>
  </sheetData>
  <mergeCells count="2">
    <mergeCell ref="U1:Y1"/>
    <mergeCell ref="AA1:AC1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Cazacu-Condrat Dumitru</cp:lastModifiedBy>
  <cp:lastPrinted>2026-01-14T07:12:34Z</cp:lastPrinted>
  <dcterms:created xsi:type="dcterms:W3CDTF">2017-04-28T05:07:59Z</dcterms:created>
  <dcterms:modified xsi:type="dcterms:W3CDTF">2026-02-13T09:40:26Z</dcterms:modified>
</cp:coreProperties>
</file>