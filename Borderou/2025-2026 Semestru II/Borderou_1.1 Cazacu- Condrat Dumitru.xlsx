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\OneDrive\Documents\0Lucru\Borderou\2025-2026 Semestru II\"/>
    </mc:Choice>
  </mc:AlternateContent>
  <xr:revisionPtr revIDLastSave="0" documentId="13_ncr:1_{6AC0A9B3-45F8-4D63-AE61-06C95F9E2906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Ianuarie 2026" sheetId="6" r:id="rId1"/>
    <sheet name="Februarie 2026" sheetId="3" r:id="rId2"/>
    <sheet name="Martie 2026" sheetId="7" r:id="rId3"/>
    <sheet name="Aprilie 2026" sheetId="10" r:id="rId4"/>
    <sheet name="Mai 2026" sheetId="11" r:id="rId5"/>
    <sheet name="Iunie 2026" sheetId="12" r:id="rId6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12" l="1"/>
  <c r="AI7" i="12"/>
  <c r="AI8" i="12"/>
  <c r="AI10" i="12"/>
  <c r="AF13" i="12"/>
  <c r="AF13" i="11"/>
  <c r="AG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AH11" i="12"/>
  <c r="AH10" i="12"/>
  <c r="AH9" i="12"/>
  <c r="AH8" i="12"/>
  <c r="AJ8" i="12" s="1"/>
  <c r="AH7" i="12"/>
  <c r="AJ7" i="12" s="1"/>
  <c r="AH6" i="12"/>
  <c r="AJ6" i="12" s="1"/>
  <c r="AH5" i="12"/>
  <c r="AH4" i="12"/>
  <c r="AJ6" i="11"/>
  <c r="AJ7" i="11"/>
  <c r="AJ8" i="11"/>
  <c r="AJ10" i="11"/>
  <c r="AH13" i="11"/>
  <c r="AG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AI10" i="11"/>
  <c r="AI9" i="11"/>
  <c r="AI8" i="11"/>
  <c r="AI7" i="11"/>
  <c r="AI6" i="11"/>
  <c r="AK6" i="11" s="1"/>
  <c r="AI5" i="11"/>
  <c r="AJ5" i="11" s="1"/>
  <c r="AI5" i="12" s="1"/>
  <c r="AI4" i="11"/>
  <c r="AI6" i="10"/>
  <c r="AI7" i="10"/>
  <c r="AI11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AH11" i="10"/>
  <c r="AH10" i="10"/>
  <c r="AH9" i="10"/>
  <c r="AI9" i="10" s="1"/>
  <c r="AH8" i="10"/>
  <c r="AI8" i="10" s="1"/>
  <c r="AH7" i="10"/>
  <c r="AJ7" i="10" s="1"/>
  <c r="AH6" i="10"/>
  <c r="AJ6" i="10" s="1"/>
  <c r="AH5" i="10"/>
  <c r="AI5" i="10" s="1"/>
  <c r="AH4" i="10"/>
  <c r="AI4" i="10" s="1"/>
  <c r="AE13" i="7"/>
  <c r="AF13" i="7"/>
  <c r="AG13" i="7"/>
  <c r="AI4" i="7"/>
  <c r="AJ4" i="7" s="1"/>
  <c r="AJ5" i="7"/>
  <c r="AJ9" i="7"/>
  <c r="AJ11" i="7"/>
  <c r="AI8" i="7"/>
  <c r="AI7" i="7"/>
  <c r="AJ7" i="7" s="1"/>
  <c r="AI6" i="7"/>
  <c r="AJ6" i="7" s="1"/>
  <c r="AI5" i="7"/>
  <c r="AH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AI11" i="7"/>
  <c r="AK11" i="7" s="1"/>
  <c r="AI10" i="7"/>
  <c r="AJ10" i="7" s="1"/>
  <c r="AI9" i="7"/>
  <c r="AI4" i="6"/>
  <c r="AJ4" i="6" s="1"/>
  <c r="AI5" i="6"/>
  <c r="AJ5" i="6" s="1"/>
  <c r="AK5" i="6" s="1"/>
  <c r="AI7" i="6"/>
  <c r="AJ7" i="6" s="1"/>
  <c r="AK7" i="6" s="1"/>
  <c r="AI6" i="6"/>
  <c r="AJ6" i="6" s="1"/>
  <c r="AF8" i="3"/>
  <c r="AG8" i="3" s="1"/>
  <c r="AH8" i="3" s="1"/>
  <c r="AH11" i="3"/>
  <c r="O9" i="6"/>
  <c r="P9" i="6"/>
  <c r="Q9" i="6"/>
  <c r="R9" i="6"/>
  <c r="S9" i="6"/>
  <c r="T9" i="6"/>
  <c r="V9" i="6"/>
  <c r="W9" i="6"/>
  <c r="X9" i="6"/>
  <c r="Y9" i="6"/>
  <c r="Z9" i="6"/>
  <c r="AA9" i="6"/>
  <c r="AC9" i="6"/>
  <c r="AD9" i="6"/>
  <c r="AE9" i="6"/>
  <c r="AF9" i="6"/>
  <c r="AG9" i="6"/>
  <c r="AF5" i="3"/>
  <c r="AF6" i="3"/>
  <c r="AF7" i="3"/>
  <c r="AF9" i="3"/>
  <c r="AG9" i="3" s="1"/>
  <c r="AH9" i="3" s="1"/>
  <c r="AF10" i="3"/>
  <c r="AG10" i="3" s="1"/>
  <c r="AH10" i="3" s="1"/>
  <c r="AF11" i="3"/>
  <c r="AG11" i="3" s="1"/>
  <c r="AF4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D13" i="3"/>
  <c r="AJ9" i="11" l="1"/>
  <c r="AI9" i="12" s="1"/>
  <c r="AJ9" i="12" s="1"/>
  <c r="AJ10" i="12"/>
  <c r="AJ5" i="12"/>
  <c r="AI11" i="11"/>
  <c r="AJ11" i="11" s="1"/>
  <c r="P13" i="11"/>
  <c r="AH13" i="12"/>
  <c r="AJ9" i="10"/>
  <c r="AJ4" i="11"/>
  <c r="AI4" i="12" s="1"/>
  <c r="AJ4" i="12" s="1"/>
  <c r="AK5" i="11"/>
  <c r="AK10" i="11"/>
  <c r="AK7" i="11"/>
  <c r="AK8" i="11"/>
  <c r="AI10" i="10"/>
  <c r="AJ10" i="10" s="1"/>
  <c r="AJ11" i="10"/>
  <c r="AJ8" i="10"/>
  <c r="AH13" i="10"/>
  <c r="AJ4" i="10"/>
  <c r="AJ5" i="10"/>
  <c r="AK7" i="7"/>
  <c r="AJ8" i="7"/>
  <c r="AK8" i="7" s="1"/>
  <c r="AK9" i="7"/>
  <c r="AK5" i="7"/>
  <c r="AK10" i="7"/>
  <c r="AK6" i="7"/>
  <c r="AI13" i="7"/>
  <c r="AG5" i="3"/>
  <c r="AH5" i="3" s="1"/>
  <c r="AG4" i="3"/>
  <c r="AH4" i="3" s="1"/>
  <c r="AK6" i="6"/>
  <c r="AG6" i="3"/>
  <c r="AH6" i="3" s="1"/>
  <c r="AI9" i="6"/>
  <c r="AJ9" i="6" s="1"/>
  <c r="AG7" i="3"/>
  <c r="AH7" i="3" s="1"/>
  <c r="AF13" i="3"/>
  <c r="AK4" i="6"/>
  <c r="AK9" i="11" l="1"/>
  <c r="AK11" i="11"/>
  <c r="AI11" i="12"/>
  <c r="AI13" i="11"/>
  <c r="AJ13" i="11"/>
  <c r="AK4" i="11"/>
  <c r="AI13" i="10"/>
  <c r="AJ13" i="10"/>
  <c r="AJ13" i="7"/>
  <c r="AK4" i="7"/>
  <c r="AK13" i="7" s="1"/>
  <c r="AH13" i="3"/>
  <c r="AG13" i="3"/>
  <c r="AK9" i="6"/>
  <c r="AK13" i="11" l="1"/>
  <c r="AI13" i="12"/>
  <c r="AJ11" i="12"/>
  <c r="AJ13" i="12" s="1"/>
</calcChain>
</file>

<file path=xl/sharedStrings.xml><?xml version="1.0" encoding="utf-8"?>
<sst xmlns="http://schemas.openxmlformats.org/spreadsheetml/2006/main" count="154" uniqueCount="30">
  <si>
    <t xml:space="preserve">BORDEROUL ORELOR PROMOVATE ÎN LUNA  </t>
  </si>
  <si>
    <t>ORE TARIFICATE</t>
  </si>
  <si>
    <t>TOTAL ORE PROMOVATE</t>
  </si>
  <si>
    <t>TOTAL ORE RĂMASE</t>
  </si>
  <si>
    <t>TOTAL ORE PROMOVATE LUNA CURENTĂ</t>
  </si>
  <si>
    <t>Grupa</t>
  </si>
  <si>
    <t>Disciplina</t>
  </si>
  <si>
    <r>
      <t xml:space="preserve"> </t>
    </r>
    <r>
      <rPr>
        <b/>
        <sz val="11"/>
        <color theme="1"/>
        <rFont val="Times New Roman"/>
        <family val="1"/>
        <charset val="204"/>
      </rPr>
      <t xml:space="preserve">Total ore pe zi </t>
    </r>
  </si>
  <si>
    <t>Cazacu Condrat Dumitru</t>
  </si>
  <si>
    <t>Utilizarea sistemelor de operare în reţea</t>
  </si>
  <si>
    <t>Promovarea produselor software</t>
  </si>
  <si>
    <t>DW-224</t>
  </si>
  <si>
    <t>DWR-224</t>
  </si>
  <si>
    <t>BDR-422</t>
  </si>
  <si>
    <t>AW-422</t>
  </si>
  <si>
    <t>Semnătura profesorului______________________ Cazacu- Condrat Dumitru</t>
  </si>
  <si>
    <t>AWR-323</t>
  </si>
  <si>
    <t>DWR-125</t>
  </si>
  <si>
    <t>Practica tehnologică</t>
  </si>
  <si>
    <t xml:space="preserve">Practica ce anticipează probele de absolvire
</t>
  </si>
  <si>
    <t xml:space="preserve">Practica de instruire </t>
  </si>
  <si>
    <t>Practica de inițiere în specialitate</t>
  </si>
  <si>
    <t>FEBRUARIE</t>
  </si>
  <si>
    <r>
      <t xml:space="preserve"> </t>
    </r>
    <r>
      <rPr>
        <b/>
        <sz val="10"/>
        <color theme="1"/>
        <rFont val="Calibri"/>
        <family val="2"/>
        <scheme val="minor"/>
      </rPr>
      <t xml:space="preserve">Total ore pe zi </t>
    </r>
  </si>
  <si>
    <t>TOTAL ORE PROMOVATE  LUNA CURENTĂ</t>
  </si>
  <si>
    <t>Ianuarie</t>
  </si>
  <si>
    <t>MARTIE</t>
  </si>
  <si>
    <t>APRILIE</t>
  </si>
  <si>
    <t>MAI</t>
  </si>
  <si>
    <t>IUNIE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</si>
</sst>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1" xfId="0" applyBorder="1"/>
    <xf numFmtId="0" fontId="1" fillId="0" borderId="4" xfId="0" applyFont="1" applyBorder="1"/>
    <xf numFmtId="0" fontId="8" fillId="0" borderId="10" xfId="0" applyFont="1" applyBorder="1"/>
    <xf numFmtId="0" fontId="8" fillId="0" borderId="4" xfId="0" applyFont="1" applyBorder="1" applyAlignment="1">
      <alignment horizontal="left"/>
    </xf>
    <xf numFmtId="0" fontId="11" fillId="0" borderId="0" xfId="0" applyFont="1"/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8" fillId="0" borderId="11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9" fillId="0" borderId="15" xfId="0" applyFont="1" applyBorder="1" applyAlignment="1">
      <alignment wrapText="1"/>
    </xf>
    <xf numFmtId="0" fontId="10" fillId="0" borderId="4" xfId="0" applyFont="1" applyBorder="1"/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3" fillId="0" borderId="12" xfId="0" applyFont="1" applyBorder="1"/>
    <xf numFmtId="0" fontId="13" fillId="0" borderId="13" xfId="0" applyFont="1" applyBorder="1"/>
    <xf numFmtId="0" fontId="17" fillId="0" borderId="19" xfId="0" applyFont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/>
    </xf>
    <xf numFmtId="0" fontId="17" fillId="0" borderId="18" xfId="0" applyFont="1" applyBorder="1" applyAlignment="1">
      <alignment horizontal="left"/>
    </xf>
    <xf numFmtId="0" fontId="17" fillId="0" borderId="23" xfId="0" applyFont="1" applyBorder="1"/>
    <xf numFmtId="0" fontId="17" fillId="0" borderId="4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3" fillId="0" borderId="9" xfId="0" applyFont="1" applyBorder="1" applyAlignment="1">
      <alignment wrapText="1"/>
    </xf>
    <xf numFmtId="0" fontId="17" fillId="0" borderId="4" xfId="0" applyFont="1" applyBorder="1" applyAlignment="1">
      <alignment horizontal="left"/>
    </xf>
    <xf numFmtId="0" fontId="13" fillId="0" borderId="6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7" fillId="0" borderId="4" xfId="0" applyFont="1" applyBorder="1" applyAlignment="1">
      <alignment horizontal="right" vertical="center" textRotation="90"/>
    </xf>
    <xf numFmtId="0" fontId="17" fillId="0" borderId="4" xfId="0" applyFont="1" applyBorder="1" applyAlignment="1">
      <alignment horizontal="right" vertical="center" textRotation="90" wrapText="1"/>
    </xf>
    <xf numFmtId="0" fontId="17" fillId="2" borderId="4" xfId="0" applyFont="1" applyFill="1" applyBorder="1" applyAlignment="1">
      <alignment horizontal="justify" vertical="center"/>
    </xf>
    <xf numFmtId="0" fontId="18" fillId="2" borderId="4" xfId="0" applyFont="1" applyFill="1" applyBorder="1" applyAlignment="1">
      <alignment horizontal="justify" vertical="center"/>
    </xf>
    <xf numFmtId="0" fontId="17" fillId="2" borderId="11" xfId="0" applyFont="1" applyFill="1" applyBorder="1" applyAlignment="1">
      <alignment horizontal="center" textRotation="90"/>
    </xf>
    <xf numFmtId="0" fontId="17" fillId="0" borderId="4" xfId="0" applyFont="1" applyBorder="1"/>
    <xf numFmtId="0" fontId="17" fillId="0" borderId="10" xfId="0" applyFont="1" applyBorder="1"/>
    <xf numFmtId="0" fontId="17" fillId="0" borderId="7" xfId="0" applyFont="1" applyBorder="1" applyAlignment="1">
      <alignment horizontal="right" vertical="center" textRotation="90"/>
    </xf>
    <xf numFmtId="0" fontId="17" fillId="0" borderId="2" xfId="0" applyFont="1" applyBorder="1" applyAlignment="1">
      <alignment horizontal="right" vertical="center" textRotation="90" wrapText="1"/>
    </xf>
    <xf numFmtId="0" fontId="17" fillId="2" borderId="7" xfId="0" applyFont="1" applyFill="1" applyBorder="1" applyAlignment="1">
      <alignment horizontal="justify" vertical="center"/>
    </xf>
    <xf numFmtId="0" fontId="18" fillId="2" borderId="7" xfId="0" applyFont="1" applyFill="1" applyBorder="1" applyAlignment="1">
      <alignment horizontal="justify" vertical="center"/>
    </xf>
    <xf numFmtId="0" fontId="17" fillId="2" borderId="1" xfId="0" applyFont="1" applyFill="1" applyBorder="1" applyAlignment="1">
      <alignment horizontal="center" textRotation="90"/>
    </xf>
    <xf numFmtId="0" fontId="13" fillId="0" borderId="1" xfId="0" applyFont="1" applyBorder="1"/>
    <xf numFmtId="0" fontId="13" fillId="0" borderId="2" xfId="0" applyFont="1" applyBorder="1"/>
    <xf numFmtId="0" fontId="17" fillId="0" borderId="0" xfId="0" applyFont="1"/>
    <xf numFmtId="0" fontId="8" fillId="0" borderId="17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9" fillId="0" borderId="4" xfId="0" applyFont="1" applyBorder="1"/>
    <xf numFmtId="0" fontId="12" fillId="0" borderId="7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textRotation="90"/>
    </xf>
    <xf numFmtId="0" fontId="7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textRotation="90"/>
    </xf>
    <xf numFmtId="0" fontId="7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13" fillId="0" borderId="5" xfId="0" applyFont="1" applyBorder="1" applyAlignment="1">
      <alignment horizontal="left" wrapText="1"/>
    </xf>
    <xf numFmtId="0" fontId="17" fillId="2" borderId="2" xfId="0" applyFont="1" applyFill="1" applyBorder="1" applyAlignment="1">
      <alignment horizontal="justify" vertical="center"/>
    </xf>
    <xf numFmtId="0" fontId="17" fillId="2" borderId="10" xfId="0" applyFont="1" applyFill="1" applyBorder="1" applyAlignment="1">
      <alignment horizontal="justify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/>
    </xf>
    <xf numFmtId="0" fontId="17" fillId="0" borderId="17" xfId="0" applyFont="1" applyBorder="1" applyAlignment="1">
      <alignment horizontal="right" vertical="center" textRotation="90" wrapText="1"/>
    </xf>
    <xf numFmtId="0" fontId="17" fillId="0" borderId="11" xfId="0" applyFont="1" applyBorder="1" applyAlignment="1">
      <alignment horizontal="right" vertical="center" textRotation="90" wrapText="1"/>
    </xf>
    <xf numFmtId="0" fontId="17" fillId="0" borderId="24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/>
    </xf>
    <xf numFmtId="0" fontId="13" fillId="0" borderId="4" xfId="0" applyFont="1" applyBorder="1"/>
    <xf numFmtId="0" fontId="17" fillId="0" borderId="4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C04B-F12A-4A01-887A-7A002AA83A51}">
  <dimension ref="A1:AK11"/>
  <sheetViews>
    <sheetView zoomScale="85" zoomScaleNormal="85" workbookViewId="0">
      <selection activeCell="AJ7" sqref="AJ7"/>
    </sheetView>
  </sheetViews>
  <sheetFormatPr defaultRowHeight="13" x14ac:dyDescent="0.3"/>
  <cols>
    <col min="1" max="1" width="12.08984375" style="25" customWidth="1"/>
    <col min="2" max="2" width="10.6328125" style="25" customWidth="1"/>
    <col min="3" max="3" width="7" style="25" customWidth="1"/>
    <col min="4" max="4" width="11.26953125" style="25" customWidth="1"/>
    <col min="5" max="12" width="2.6328125" style="25" customWidth="1"/>
    <col min="13" max="13" width="3.36328125" style="25" customWidth="1"/>
    <col min="14" max="15" width="3.08984375" style="25" customWidth="1"/>
    <col min="16" max="16" width="2.90625" style="25" customWidth="1"/>
    <col min="17" max="17" width="3.36328125" style="25" customWidth="1"/>
    <col min="18" max="18" width="3.453125" style="25" customWidth="1"/>
    <col min="19" max="19" width="3.08984375" style="25" customWidth="1"/>
    <col min="20" max="21" width="3.36328125" style="25" customWidth="1"/>
    <col min="22" max="22" width="3.453125" style="25" customWidth="1"/>
    <col min="23" max="23" width="3.08984375" style="25" customWidth="1"/>
    <col min="24" max="24" width="3" style="25" customWidth="1"/>
    <col min="25" max="25" width="3.08984375" style="25" customWidth="1"/>
    <col min="26" max="28" width="3" style="25" customWidth="1"/>
    <col min="29" max="30" width="3.08984375" style="25" customWidth="1"/>
    <col min="31" max="31" width="3" style="25" customWidth="1"/>
    <col min="32" max="33" width="3.36328125" style="25" customWidth="1"/>
    <col min="34" max="34" width="3.453125" style="25" customWidth="1"/>
    <col min="35" max="35" width="8.08984375" style="25" customWidth="1"/>
    <col min="36" max="36" width="5.36328125" style="25" customWidth="1"/>
    <col min="37" max="37" width="4.90625" style="25" customWidth="1"/>
    <col min="38" max="16384" width="8.7265625" style="25"/>
  </cols>
  <sheetData>
    <row r="1" spans="1:37" x14ac:dyDescent="0.3">
      <c r="B1" s="64" t="s">
        <v>8</v>
      </c>
      <c r="E1" s="25" t="s">
        <v>0</v>
      </c>
      <c r="U1" s="107" t="s">
        <v>25</v>
      </c>
      <c r="V1" s="107"/>
      <c r="W1" s="107"/>
      <c r="X1" s="107"/>
      <c r="Y1" s="107"/>
      <c r="AA1" s="107">
        <v>2026</v>
      </c>
      <c r="AB1" s="107"/>
      <c r="AC1" s="107"/>
    </row>
    <row r="2" spans="1:37" ht="96.65" customHeight="1" x14ac:dyDescent="0.3">
      <c r="A2" s="63"/>
      <c r="B2" s="62"/>
      <c r="C2" s="61" t="s">
        <v>1</v>
      </c>
      <c r="D2" s="59">
        <v>1</v>
      </c>
      <c r="E2" s="59">
        <v>2</v>
      </c>
      <c r="F2" s="59">
        <v>3</v>
      </c>
      <c r="G2" s="59">
        <v>4</v>
      </c>
      <c r="H2" s="59">
        <v>5</v>
      </c>
      <c r="I2" s="59">
        <v>6</v>
      </c>
      <c r="J2" s="60">
        <v>7</v>
      </c>
      <c r="K2" s="60">
        <v>8</v>
      </c>
      <c r="L2" s="59">
        <v>9</v>
      </c>
      <c r="M2" s="59">
        <v>10</v>
      </c>
      <c r="N2" s="59">
        <v>11</v>
      </c>
      <c r="O2" s="59">
        <v>12</v>
      </c>
      <c r="P2" s="59">
        <v>13</v>
      </c>
      <c r="Q2" s="59">
        <v>14</v>
      </c>
      <c r="R2" s="59">
        <v>15</v>
      </c>
      <c r="S2" s="59">
        <v>16</v>
      </c>
      <c r="T2" s="59">
        <v>17</v>
      </c>
      <c r="U2" s="59">
        <v>18</v>
      </c>
      <c r="V2" s="59">
        <v>19</v>
      </c>
      <c r="W2" s="59">
        <v>20</v>
      </c>
      <c r="X2" s="59">
        <v>21</v>
      </c>
      <c r="Y2" s="59">
        <v>22</v>
      </c>
      <c r="Z2" s="59">
        <v>23</v>
      </c>
      <c r="AA2" s="59">
        <v>24</v>
      </c>
      <c r="AB2" s="59">
        <v>25</v>
      </c>
      <c r="AC2" s="59">
        <v>26</v>
      </c>
      <c r="AD2" s="59">
        <v>27</v>
      </c>
      <c r="AE2" s="59">
        <v>28</v>
      </c>
      <c r="AF2" s="59">
        <v>29</v>
      </c>
      <c r="AG2" s="92">
        <v>30</v>
      </c>
      <c r="AH2" s="103">
        <v>31</v>
      </c>
      <c r="AI2" s="97" t="s">
        <v>24</v>
      </c>
      <c r="AJ2" s="58" t="s">
        <v>2</v>
      </c>
      <c r="AK2" s="57" t="s">
        <v>3</v>
      </c>
    </row>
    <row r="3" spans="1:37" ht="15" customHeight="1" x14ac:dyDescent="0.3">
      <c r="A3" s="56" t="s">
        <v>6</v>
      </c>
      <c r="B3" s="55" t="s">
        <v>5</v>
      </c>
      <c r="C3" s="54"/>
      <c r="D3" s="52"/>
      <c r="E3" s="52"/>
      <c r="F3" s="52"/>
      <c r="G3" s="52"/>
      <c r="H3" s="52"/>
      <c r="I3" s="52"/>
      <c r="J3" s="53"/>
      <c r="K3" s="53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93"/>
      <c r="AH3" s="102"/>
      <c r="AI3" s="98"/>
      <c r="AJ3" s="51"/>
      <c r="AK3" s="50"/>
    </row>
    <row r="4" spans="1:37" ht="34.25" customHeight="1" x14ac:dyDescent="0.3">
      <c r="A4" s="91" t="s">
        <v>9</v>
      </c>
      <c r="B4" s="47" t="s">
        <v>11</v>
      </c>
      <c r="C4" s="44">
        <v>77</v>
      </c>
      <c r="D4" s="42"/>
      <c r="E4" s="42"/>
      <c r="F4" s="42"/>
      <c r="G4" s="42"/>
      <c r="H4" s="42"/>
      <c r="I4" s="42"/>
      <c r="J4" s="43"/>
      <c r="K4" s="43"/>
      <c r="L4" s="42"/>
      <c r="M4" s="42"/>
      <c r="N4" s="42"/>
      <c r="O4" s="42"/>
      <c r="P4" s="42">
        <v>4</v>
      </c>
      <c r="Q4" s="42">
        <v>1</v>
      </c>
      <c r="R4" s="42"/>
      <c r="S4" s="42"/>
      <c r="T4" s="42"/>
      <c r="U4" s="42"/>
      <c r="V4" s="42"/>
      <c r="W4" s="42">
        <v>4</v>
      </c>
      <c r="X4" s="42">
        <v>1</v>
      </c>
      <c r="Y4" s="42"/>
      <c r="Z4" s="42"/>
      <c r="AA4" s="42"/>
      <c r="AB4" s="42"/>
      <c r="AC4" s="42"/>
      <c r="AD4" s="42">
        <v>4</v>
      </c>
      <c r="AE4" s="42">
        <v>1</v>
      </c>
      <c r="AF4" s="42"/>
      <c r="AG4" s="94"/>
      <c r="AH4" s="102"/>
      <c r="AI4" s="99">
        <f>SUM(D4:AH4)</f>
        <v>15</v>
      </c>
      <c r="AJ4" s="41">
        <f>AI4</f>
        <v>15</v>
      </c>
      <c r="AK4" s="40">
        <f>C4-AJ4</f>
        <v>62</v>
      </c>
    </row>
    <row r="5" spans="1:37" ht="52" x14ac:dyDescent="0.3">
      <c r="A5" s="49" t="s">
        <v>9</v>
      </c>
      <c r="B5" s="47" t="s">
        <v>12</v>
      </c>
      <c r="C5" s="44">
        <v>78</v>
      </c>
      <c r="D5" s="42"/>
      <c r="E5" s="42"/>
      <c r="F5" s="42"/>
      <c r="G5" s="42"/>
      <c r="H5" s="42"/>
      <c r="I5" s="42"/>
      <c r="J5" s="43"/>
      <c r="K5" s="43"/>
      <c r="L5" s="42"/>
      <c r="M5" s="42"/>
      <c r="N5" s="42"/>
      <c r="O5" s="42"/>
      <c r="P5" s="42"/>
      <c r="Q5" s="42"/>
      <c r="R5" s="42">
        <v>1</v>
      </c>
      <c r="S5" s="42">
        <v>4</v>
      </c>
      <c r="T5" s="42"/>
      <c r="U5" s="42"/>
      <c r="V5" s="42"/>
      <c r="W5" s="42"/>
      <c r="X5" s="42"/>
      <c r="Y5" s="42">
        <v>1</v>
      </c>
      <c r="Z5" s="42">
        <v>4</v>
      </c>
      <c r="AA5" s="42"/>
      <c r="AB5" s="42"/>
      <c r="AC5" s="42"/>
      <c r="AD5" s="42"/>
      <c r="AE5" s="42"/>
      <c r="AF5" s="42">
        <v>1</v>
      </c>
      <c r="AG5" s="94">
        <v>4</v>
      </c>
      <c r="AH5" s="102"/>
      <c r="AI5" s="99">
        <f>SUM(D5:AH5)</f>
        <v>15</v>
      </c>
      <c r="AJ5" s="41">
        <f>AI5</f>
        <v>15</v>
      </c>
      <c r="AK5" s="40">
        <f>C5-AJ5</f>
        <v>63</v>
      </c>
    </row>
    <row r="6" spans="1:37" ht="39" x14ac:dyDescent="0.3">
      <c r="A6" s="48" t="s">
        <v>10</v>
      </c>
      <c r="B6" s="47" t="s">
        <v>13</v>
      </c>
      <c r="C6" s="44">
        <v>40</v>
      </c>
      <c r="D6" s="42"/>
      <c r="E6" s="42"/>
      <c r="F6" s="42"/>
      <c r="G6" s="42"/>
      <c r="H6" s="42"/>
      <c r="I6" s="42"/>
      <c r="J6" s="43"/>
      <c r="K6" s="43"/>
      <c r="L6" s="42"/>
      <c r="M6" s="42"/>
      <c r="N6" s="42"/>
      <c r="O6" s="42">
        <v>2</v>
      </c>
      <c r="P6" s="42"/>
      <c r="Q6" s="42"/>
      <c r="R6" s="42"/>
      <c r="S6" s="42"/>
      <c r="T6" s="42">
        <v>1</v>
      </c>
      <c r="U6" s="42"/>
      <c r="V6" s="42">
        <v>2</v>
      </c>
      <c r="W6" s="42"/>
      <c r="X6" s="42"/>
      <c r="Y6" s="42"/>
      <c r="Z6" s="42"/>
      <c r="AA6" s="42">
        <v>1</v>
      </c>
      <c r="AB6" s="42"/>
      <c r="AC6" s="42">
        <v>2</v>
      </c>
      <c r="AD6" s="42">
        <v>2</v>
      </c>
      <c r="AE6" s="42"/>
      <c r="AF6" s="42"/>
      <c r="AG6" s="94"/>
      <c r="AH6" s="55">
        <v>1</v>
      </c>
      <c r="AI6" s="99">
        <f>SUM(D6:AH6)</f>
        <v>11</v>
      </c>
      <c r="AJ6" s="41">
        <f>AI6</f>
        <v>11</v>
      </c>
      <c r="AK6" s="40">
        <f>C6-AJ6</f>
        <v>29</v>
      </c>
    </row>
    <row r="7" spans="1:37" ht="39.5" thickBot="1" x14ac:dyDescent="0.35">
      <c r="A7" s="46" t="s">
        <v>10</v>
      </c>
      <c r="B7" s="45" t="s">
        <v>14</v>
      </c>
      <c r="C7" s="44">
        <v>40</v>
      </c>
      <c r="D7" s="42"/>
      <c r="E7" s="42"/>
      <c r="F7" s="42"/>
      <c r="G7" s="42"/>
      <c r="H7" s="42"/>
      <c r="I7" s="42"/>
      <c r="J7" s="43"/>
      <c r="K7" s="43"/>
      <c r="L7" s="42"/>
      <c r="M7" s="42"/>
      <c r="N7" s="42"/>
      <c r="O7" s="42"/>
      <c r="P7" s="42"/>
      <c r="Q7" s="42">
        <v>2</v>
      </c>
      <c r="R7" s="42"/>
      <c r="S7" s="42"/>
      <c r="T7" s="42">
        <v>1</v>
      </c>
      <c r="U7" s="42"/>
      <c r="V7" s="42"/>
      <c r="W7" s="42"/>
      <c r="X7" s="42">
        <v>2</v>
      </c>
      <c r="Y7" s="42"/>
      <c r="Z7" s="42"/>
      <c r="AA7" s="42">
        <v>1</v>
      </c>
      <c r="AB7" s="42"/>
      <c r="AC7" s="42"/>
      <c r="AD7" s="42"/>
      <c r="AE7" s="42">
        <v>2</v>
      </c>
      <c r="AF7" s="42"/>
      <c r="AG7" s="94"/>
      <c r="AH7" s="55">
        <v>1</v>
      </c>
      <c r="AI7" s="99">
        <f>SUM(D7:AH7)</f>
        <v>9</v>
      </c>
      <c r="AJ7" s="41">
        <f>AI7</f>
        <v>9</v>
      </c>
      <c r="AK7" s="40">
        <f>C7-AJ7</f>
        <v>31</v>
      </c>
    </row>
    <row r="8" spans="1:37" ht="13.5" thickBot="1" x14ac:dyDescent="0.35">
      <c r="A8" s="39"/>
      <c r="B8" s="38"/>
      <c r="C8" s="37"/>
      <c r="D8" s="36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95"/>
      <c r="AH8" s="55"/>
      <c r="AI8" s="100"/>
      <c r="AJ8" s="34"/>
      <c r="AK8" s="29"/>
    </row>
    <row r="9" spans="1:37" ht="13.5" thickBot="1" x14ac:dyDescent="0.35">
      <c r="A9" s="33" t="s">
        <v>23</v>
      </c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>
        <f>SUM(O5:O8)</f>
        <v>2</v>
      </c>
      <c r="P9" s="31">
        <f>SUM(P4:P7)</f>
        <v>4</v>
      </c>
      <c r="Q9" s="31">
        <f>SUM(Q4:Q7)</f>
        <v>3</v>
      </c>
      <c r="R9" s="31">
        <f>SUM(R4:R7)</f>
        <v>1</v>
      </c>
      <c r="S9" s="31">
        <f>SUM(S4:S7)</f>
        <v>4</v>
      </c>
      <c r="T9" s="31">
        <f>SUM(T5:T8)</f>
        <v>2</v>
      </c>
      <c r="U9" s="31"/>
      <c r="V9" s="31">
        <f>SUM(V5:V8)</f>
        <v>2</v>
      </c>
      <c r="W9" s="31">
        <f>SUM(W4:W7)</f>
        <v>4</v>
      </c>
      <c r="X9" s="31">
        <f>SUM(X4:X7)</f>
        <v>3</v>
      </c>
      <c r="Y9" s="31">
        <f>SUM(Y4:Y7)</f>
        <v>1</v>
      </c>
      <c r="Z9" s="31">
        <f>SUM(Z4:Z7)</f>
        <v>4</v>
      </c>
      <c r="AA9" s="31">
        <f>SUM(AA4:AA7)</f>
        <v>2</v>
      </c>
      <c r="AB9" s="31"/>
      <c r="AC9" s="31">
        <f>SUM(AC4:AC7)</f>
        <v>2</v>
      </c>
      <c r="AD9" s="31">
        <f>SUM(AD4:AD7)</f>
        <v>6</v>
      </c>
      <c r="AE9" s="31">
        <f>SUM(AE4:AE7)</f>
        <v>3</v>
      </c>
      <c r="AF9" s="31">
        <f>SUM(AF4:AF7)</f>
        <v>1</v>
      </c>
      <c r="AG9" s="96">
        <f>SUM(AG4:AG7)</f>
        <v>4</v>
      </c>
      <c r="AH9" s="102"/>
      <c r="AI9" s="101">
        <f>SUM(D9:AG9)</f>
        <v>48</v>
      </c>
      <c r="AJ9" s="30">
        <f>AI9</f>
        <v>48</v>
      </c>
      <c r="AK9" s="29">
        <f>SUM(C4:C7)-AI9</f>
        <v>187</v>
      </c>
    </row>
    <row r="10" spans="1:37" x14ac:dyDescent="0.3">
      <c r="D10" s="27"/>
      <c r="E10" s="27"/>
      <c r="F10" s="27"/>
      <c r="G10" s="27"/>
      <c r="H10" s="27"/>
      <c r="I10" s="27"/>
      <c r="J10" s="28"/>
      <c r="K10" s="28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64"/>
      <c r="AI10" s="26"/>
      <c r="AJ10" s="26"/>
    </row>
    <row r="11" spans="1:37" x14ac:dyDescent="0.3">
      <c r="J11" s="107" t="s">
        <v>15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</row>
  </sheetData>
  <mergeCells count="3">
    <mergeCell ref="U1:Y1"/>
    <mergeCell ref="J11:AK11"/>
    <mergeCell ref="AA1:AC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topLeftCell="A2" zoomScaleNormal="100" workbookViewId="0">
      <selection activeCell="AG4" sqref="AG4"/>
    </sheetView>
  </sheetViews>
  <sheetFormatPr defaultRowHeight="14.5" x14ac:dyDescent="0.35"/>
  <cols>
    <col min="1" max="1" width="15.90625" customWidth="1"/>
    <col min="2" max="2" width="10.6328125" customWidth="1"/>
    <col min="3" max="3" width="7" customWidth="1"/>
    <col min="4" max="4" width="7.36328125" customWidth="1"/>
    <col min="5" max="12" width="2.6328125" customWidth="1"/>
    <col min="13" max="13" width="3.36328125" customWidth="1"/>
    <col min="14" max="15" width="3.08984375" customWidth="1"/>
    <col min="16" max="16" width="2.90625" customWidth="1"/>
    <col min="17" max="17" width="3.36328125" customWidth="1"/>
    <col min="18" max="18" width="3.453125" customWidth="1"/>
    <col min="19" max="19" width="3.08984375" customWidth="1"/>
    <col min="20" max="21" width="3.36328125" customWidth="1"/>
    <col min="22" max="22" width="3.453125" customWidth="1"/>
    <col min="23" max="23" width="3.08984375" customWidth="1"/>
    <col min="24" max="24" width="3" customWidth="1"/>
    <col min="25" max="25" width="3.08984375" customWidth="1"/>
    <col min="26" max="28" width="3" customWidth="1"/>
    <col min="29" max="30" width="3.08984375" customWidth="1"/>
    <col min="31" max="31" width="3" customWidth="1"/>
    <col min="32" max="32" width="6.90625" customWidth="1"/>
    <col min="33" max="33" width="5.36328125" customWidth="1"/>
    <col min="34" max="34" width="4.90625" customWidth="1"/>
  </cols>
  <sheetData>
    <row r="1" spans="1:34" ht="18.5" x14ac:dyDescent="0.45">
      <c r="B1" s="10" t="s">
        <v>8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s="104" t="s">
        <v>22</v>
      </c>
      <c r="V1" s="104"/>
      <c r="W1" s="104"/>
      <c r="X1" s="104"/>
      <c r="Y1" s="104"/>
      <c r="AA1" s="105">
        <v>2026</v>
      </c>
      <c r="AB1" s="105"/>
      <c r="AC1" s="105"/>
    </row>
    <row r="2" spans="1:34" ht="96.65" customHeight="1" x14ac:dyDescent="0.35">
      <c r="A2" s="5"/>
      <c r="B2" s="6"/>
      <c r="C2" s="69" t="s">
        <v>1</v>
      </c>
      <c r="D2" s="70">
        <v>1</v>
      </c>
      <c r="E2" s="70">
        <v>2</v>
      </c>
      <c r="F2" s="70">
        <v>3</v>
      </c>
      <c r="G2" s="70">
        <v>4</v>
      </c>
      <c r="H2" s="70">
        <v>5</v>
      </c>
      <c r="I2" s="70">
        <v>6</v>
      </c>
      <c r="J2" s="71">
        <v>7</v>
      </c>
      <c r="K2" s="71">
        <v>8</v>
      </c>
      <c r="L2" s="70">
        <v>9</v>
      </c>
      <c r="M2" s="70">
        <v>10</v>
      </c>
      <c r="N2" s="70">
        <v>11</v>
      </c>
      <c r="O2" s="70">
        <v>12</v>
      </c>
      <c r="P2" s="70">
        <v>13</v>
      </c>
      <c r="Q2" s="70">
        <v>14</v>
      </c>
      <c r="R2" s="70">
        <v>15</v>
      </c>
      <c r="S2" s="70">
        <v>16</v>
      </c>
      <c r="T2" s="70">
        <v>17</v>
      </c>
      <c r="U2" s="70">
        <v>18</v>
      </c>
      <c r="V2" s="70">
        <v>19</v>
      </c>
      <c r="W2" s="70">
        <v>20</v>
      </c>
      <c r="X2" s="70">
        <v>21</v>
      </c>
      <c r="Y2" s="70">
        <v>22</v>
      </c>
      <c r="Z2" s="70">
        <v>23</v>
      </c>
      <c r="AA2" s="70">
        <v>24</v>
      </c>
      <c r="AB2" s="70">
        <v>25</v>
      </c>
      <c r="AC2" s="70">
        <v>26</v>
      </c>
      <c r="AD2" s="70">
        <v>27</v>
      </c>
      <c r="AE2" s="70">
        <v>28</v>
      </c>
      <c r="AF2" s="20" t="s">
        <v>4</v>
      </c>
      <c r="AG2" s="21" t="s">
        <v>2</v>
      </c>
      <c r="AH2" s="22" t="s">
        <v>3</v>
      </c>
    </row>
    <row r="3" spans="1:34" ht="15" customHeight="1" x14ac:dyDescent="0.35">
      <c r="A3" s="8" t="s">
        <v>6</v>
      </c>
      <c r="B3" s="7" t="s">
        <v>5</v>
      </c>
      <c r="C3" s="72"/>
      <c r="D3" s="73"/>
      <c r="E3" s="73"/>
      <c r="F3" s="73"/>
      <c r="G3" s="73"/>
      <c r="H3" s="73"/>
      <c r="I3" s="73"/>
      <c r="J3" s="74"/>
      <c r="K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23"/>
      <c r="AG3" s="23"/>
      <c r="AH3" s="24"/>
    </row>
    <row r="4" spans="1:34" ht="34.25" customHeight="1" x14ac:dyDescent="0.35">
      <c r="A4" s="11" t="s">
        <v>9</v>
      </c>
      <c r="B4" s="9" t="s">
        <v>11</v>
      </c>
      <c r="C4" s="75">
        <v>77</v>
      </c>
      <c r="D4" s="76"/>
      <c r="E4" s="76"/>
      <c r="F4" s="76">
        <v>4</v>
      </c>
      <c r="G4" s="76">
        <v>1</v>
      </c>
      <c r="H4" s="76"/>
      <c r="I4" s="76"/>
      <c r="J4" s="77"/>
      <c r="K4" s="77"/>
      <c r="L4" s="76"/>
      <c r="M4" s="76">
        <v>4</v>
      </c>
      <c r="N4" s="76">
        <v>1</v>
      </c>
      <c r="O4" s="76"/>
      <c r="P4" s="76"/>
      <c r="Q4" s="76"/>
      <c r="R4" s="76"/>
      <c r="S4" s="76"/>
      <c r="T4" s="76">
        <v>4</v>
      </c>
      <c r="U4" s="76">
        <v>1</v>
      </c>
      <c r="V4" s="76"/>
      <c r="W4" s="76"/>
      <c r="X4" s="76"/>
      <c r="Y4" s="76"/>
      <c r="Z4" s="76"/>
      <c r="AA4" s="76">
        <v>4</v>
      </c>
      <c r="AB4" s="76"/>
      <c r="AC4" s="76"/>
      <c r="AD4" s="76"/>
      <c r="AE4" s="76"/>
      <c r="AF4" s="78">
        <f>SUM(D4:AE4)</f>
        <v>19</v>
      </c>
      <c r="AG4" s="79">
        <f>'Ianuarie 2026'!AJ4 + AF4</f>
        <v>34</v>
      </c>
      <c r="AH4" s="80">
        <f>C4-AG4</f>
        <v>43</v>
      </c>
    </row>
    <row r="5" spans="1:34" ht="24" x14ac:dyDescent="0.35">
      <c r="A5" s="16" t="s">
        <v>9</v>
      </c>
      <c r="B5" s="9" t="s">
        <v>12</v>
      </c>
      <c r="C5" s="75">
        <v>78</v>
      </c>
      <c r="D5" s="76"/>
      <c r="E5" s="76"/>
      <c r="F5" s="76"/>
      <c r="G5" s="76"/>
      <c r="H5" s="76">
        <v>1</v>
      </c>
      <c r="I5" s="76">
        <v>4</v>
      </c>
      <c r="J5" s="77"/>
      <c r="K5" s="77"/>
      <c r="L5" s="76"/>
      <c r="M5" s="76"/>
      <c r="N5" s="76"/>
      <c r="O5" s="76">
        <v>1</v>
      </c>
      <c r="P5" s="76">
        <v>4</v>
      </c>
      <c r="Q5" s="76"/>
      <c r="R5" s="76"/>
      <c r="S5" s="76"/>
      <c r="T5" s="76"/>
      <c r="U5" s="76"/>
      <c r="V5" s="76">
        <v>1</v>
      </c>
      <c r="W5" s="76"/>
      <c r="X5" s="76"/>
      <c r="Y5" s="76"/>
      <c r="Z5" s="76"/>
      <c r="AA5" s="76"/>
      <c r="AB5" s="76"/>
      <c r="AC5" s="76"/>
      <c r="AD5" s="76"/>
      <c r="AE5" s="76"/>
      <c r="AF5" s="78">
        <f t="shared" ref="AF5:AF11" si="0">SUM(D5:AE5)</f>
        <v>11</v>
      </c>
      <c r="AG5" s="79">
        <f>'Ianuarie 2026'!AJ5 + AF5</f>
        <v>26</v>
      </c>
      <c r="AH5" s="80">
        <f>C5-AG5</f>
        <v>52</v>
      </c>
    </row>
    <row r="6" spans="1:34" ht="26.5" x14ac:dyDescent="0.35">
      <c r="A6" s="12" t="s">
        <v>10</v>
      </c>
      <c r="B6" s="14" t="s">
        <v>13</v>
      </c>
      <c r="C6" s="75">
        <v>40</v>
      </c>
      <c r="D6" s="76"/>
      <c r="E6" s="76">
        <v>2</v>
      </c>
      <c r="F6" s="76"/>
      <c r="G6" s="76"/>
      <c r="H6" s="76"/>
      <c r="I6" s="76"/>
      <c r="J6" s="77">
        <v>1</v>
      </c>
      <c r="K6" s="77"/>
      <c r="L6" s="76">
        <v>2</v>
      </c>
      <c r="M6" s="76"/>
      <c r="N6" s="76"/>
      <c r="O6" s="76"/>
      <c r="P6" s="76"/>
      <c r="Q6" s="76">
        <v>1</v>
      </c>
      <c r="R6" s="76"/>
      <c r="S6" s="76">
        <v>2</v>
      </c>
      <c r="T6" s="76"/>
      <c r="U6" s="76"/>
      <c r="V6" s="76"/>
      <c r="W6" s="76"/>
      <c r="X6" s="76">
        <v>1</v>
      </c>
      <c r="Y6" s="76"/>
      <c r="Z6" s="76">
        <v>2</v>
      </c>
      <c r="AA6" s="76"/>
      <c r="AB6" s="76"/>
      <c r="AC6" s="76"/>
      <c r="AD6" s="76"/>
      <c r="AE6" s="76">
        <v>1</v>
      </c>
      <c r="AF6" s="78">
        <f t="shared" si="0"/>
        <v>12</v>
      </c>
      <c r="AG6" s="79">
        <f>'Ianuarie 2026'!AJ6 + AF6</f>
        <v>23</v>
      </c>
      <c r="AH6" s="80">
        <f t="shared" ref="AH6:AH11" si="1">C6-AG6</f>
        <v>17</v>
      </c>
    </row>
    <row r="7" spans="1:34" ht="26.5" x14ac:dyDescent="0.35">
      <c r="A7" s="12" t="s">
        <v>10</v>
      </c>
      <c r="B7" s="15" t="s">
        <v>14</v>
      </c>
      <c r="C7" s="81">
        <v>40</v>
      </c>
      <c r="D7" s="82"/>
      <c r="E7" s="82"/>
      <c r="F7" s="82"/>
      <c r="G7" s="82">
        <v>2</v>
      </c>
      <c r="H7" s="82"/>
      <c r="I7" s="82"/>
      <c r="J7" s="83">
        <v>1</v>
      </c>
      <c r="K7" s="83"/>
      <c r="L7" s="82"/>
      <c r="M7" s="82"/>
      <c r="N7" s="82">
        <v>2</v>
      </c>
      <c r="O7" s="82"/>
      <c r="P7" s="82"/>
      <c r="Q7" s="82">
        <v>1</v>
      </c>
      <c r="R7" s="82"/>
      <c r="S7" s="82"/>
      <c r="T7" s="82"/>
      <c r="U7" s="82">
        <v>2</v>
      </c>
      <c r="V7" s="82"/>
      <c r="W7" s="82"/>
      <c r="X7" s="82">
        <v>1</v>
      </c>
      <c r="Y7" s="82"/>
      <c r="Z7" s="82"/>
      <c r="AA7" s="82"/>
      <c r="AB7" s="82">
        <v>2</v>
      </c>
      <c r="AC7" s="82"/>
      <c r="AD7" s="82"/>
      <c r="AE7" s="82">
        <v>1</v>
      </c>
      <c r="AF7" s="78">
        <f t="shared" si="0"/>
        <v>12</v>
      </c>
      <c r="AG7" s="79">
        <f>'Ianuarie 2026'!AJ7 + AF7</f>
        <v>21</v>
      </c>
      <c r="AH7" s="80">
        <f t="shared" si="1"/>
        <v>19</v>
      </c>
    </row>
    <row r="8" spans="1:34" x14ac:dyDescent="0.35">
      <c r="A8" s="17" t="s">
        <v>18</v>
      </c>
      <c r="B8" s="14" t="s">
        <v>16</v>
      </c>
      <c r="C8" s="84">
        <v>120</v>
      </c>
      <c r="D8" s="73"/>
      <c r="E8" s="73"/>
      <c r="F8" s="73"/>
      <c r="G8" s="73"/>
      <c r="H8" s="73"/>
      <c r="I8" s="73"/>
      <c r="J8" s="74"/>
      <c r="K8" s="74"/>
      <c r="L8" s="73"/>
      <c r="M8" s="73"/>
      <c r="N8" s="73"/>
      <c r="O8" s="73"/>
      <c r="P8" s="73"/>
      <c r="Q8" s="73"/>
      <c r="R8" s="73"/>
      <c r="S8" s="73">
        <v>6</v>
      </c>
      <c r="T8" s="73">
        <v>6</v>
      </c>
      <c r="U8" s="73">
        <v>6</v>
      </c>
      <c r="V8" s="73">
        <v>8</v>
      </c>
      <c r="W8" s="73">
        <v>4</v>
      </c>
      <c r="X8" s="73"/>
      <c r="Y8" s="73"/>
      <c r="Z8" s="73">
        <v>6</v>
      </c>
      <c r="AA8" s="73">
        <v>6</v>
      </c>
      <c r="AB8" s="73">
        <v>6</v>
      </c>
      <c r="AC8" s="73">
        <v>8</v>
      </c>
      <c r="AD8" s="73">
        <v>4</v>
      </c>
      <c r="AE8" s="73"/>
      <c r="AF8" s="78">
        <f>SUM(D8:AE8)</f>
        <v>60</v>
      </c>
      <c r="AG8" s="85">
        <f>AF8</f>
        <v>60</v>
      </c>
      <c r="AH8" s="80">
        <f t="shared" si="1"/>
        <v>60</v>
      </c>
    </row>
    <row r="9" spans="1:34" ht="26" x14ac:dyDescent="0.35">
      <c r="A9" s="18" t="s">
        <v>21</v>
      </c>
      <c r="B9" s="14" t="s">
        <v>17</v>
      </c>
      <c r="C9" s="84">
        <v>90</v>
      </c>
      <c r="D9" s="73"/>
      <c r="E9" s="73"/>
      <c r="F9" s="73"/>
      <c r="G9" s="73"/>
      <c r="H9" s="73"/>
      <c r="I9" s="73"/>
      <c r="J9" s="74"/>
      <c r="K9" s="74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8">
        <f t="shared" si="0"/>
        <v>0</v>
      </c>
      <c r="AG9" s="85">
        <f t="shared" ref="AG9:AG11" si="2">AF9</f>
        <v>0</v>
      </c>
      <c r="AH9" s="80">
        <f t="shared" si="1"/>
        <v>90</v>
      </c>
    </row>
    <row r="10" spans="1:34" x14ac:dyDescent="0.35">
      <c r="A10" s="19" t="s">
        <v>20</v>
      </c>
      <c r="B10" s="14" t="s">
        <v>12</v>
      </c>
      <c r="C10" s="84">
        <v>90</v>
      </c>
      <c r="D10" s="73"/>
      <c r="E10" s="73"/>
      <c r="F10" s="73"/>
      <c r="G10" s="73"/>
      <c r="H10" s="73"/>
      <c r="I10" s="73"/>
      <c r="J10" s="74"/>
      <c r="K10" s="74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8">
        <f t="shared" si="0"/>
        <v>0</v>
      </c>
      <c r="AG10" s="85">
        <f t="shared" si="2"/>
        <v>0</v>
      </c>
      <c r="AH10" s="80">
        <f t="shared" si="1"/>
        <v>90</v>
      </c>
    </row>
    <row r="11" spans="1:34" ht="40.25" customHeight="1" x14ac:dyDescent="0.35">
      <c r="A11" s="68" t="s">
        <v>19</v>
      </c>
      <c r="B11" s="65" t="s">
        <v>13</v>
      </c>
      <c r="C11" s="86">
        <v>60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87">
        <f t="shared" si="0"/>
        <v>0</v>
      </c>
      <c r="AG11" s="88">
        <f t="shared" si="2"/>
        <v>0</v>
      </c>
      <c r="AH11" s="89">
        <f t="shared" si="1"/>
        <v>60</v>
      </c>
    </row>
    <row r="12" spans="1:34" x14ac:dyDescent="0.35">
      <c r="A12" s="13"/>
      <c r="B12" s="66"/>
      <c r="C12" s="90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85"/>
      <c r="AG12" s="85"/>
      <c r="AH12" s="80"/>
    </row>
    <row r="13" spans="1:34" x14ac:dyDescent="0.35">
      <c r="A13" s="67" t="s">
        <v>7</v>
      </c>
      <c r="B13" s="67"/>
      <c r="C13" s="90">
        <v>595</v>
      </c>
      <c r="D13" s="84">
        <f t="shared" ref="D13:AH13" si="3">SUM(D4:D11)</f>
        <v>0</v>
      </c>
      <c r="E13" s="84">
        <f t="shared" si="3"/>
        <v>2</v>
      </c>
      <c r="F13" s="84">
        <f t="shared" si="3"/>
        <v>4</v>
      </c>
      <c r="G13" s="84">
        <f t="shared" si="3"/>
        <v>3</v>
      </c>
      <c r="H13" s="84">
        <f t="shared" si="3"/>
        <v>1</v>
      </c>
      <c r="I13" s="84">
        <f t="shared" si="3"/>
        <v>4</v>
      </c>
      <c r="J13" s="84">
        <f t="shared" si="3"/>
        <v>2</v>
      </c>
      <c r="K13" s="84">
        <f t="shared" si="3"/>
        <v>0</v>
      </c>
      <c r="L13" s="84">
        <f t="shared" si="3"/>
        <v>2</v>
      </c>
      <c r="M13" s="84">
        <f t="shared" si="3"/>
        <v>4</v>
      </c>
      <c r="N13" s="84">
        <f t="shared" si="3"/>
        <v>3</v>
      </c>
      <c r="O13" s="84">
        <f t="shared" si="3"/>
        <v>1</v>
      </c>
      <c r="P13" s="84">
        <f t="shared" si="3"/>
        <v>4</v>
      </c>
      <c r="Q13" s="84">
        <f t="shared" si="3"/>
        <v>2</v>
      </c>
      <c r="R13" s="84">
        <f t="shared" si="3"/>
        <v>0</v>
      </c>
      <c r="S13" s="84">
        <f t="shared" si="3"/>
        <v>8</v>
      </c>
      <c r="T13" s="84">
        <f t="shared" si="3"/>
        <v>10</v>
      </c>
      <c r="U13" s="84">
        <f t="shared" si="3"/>
        <v>9</v>
      </c>
      <c r="V13" s="84">
        <f t="shared" si="3"/>
        <v>9</v>
      </c>
      <c r="W13" s="84">
        <f t="shared" si="3"/>
        <v>4</v>
      </c>
      <c r="X13" s="84">
        <f t="shared" si="3"/>
        <v>2</v>
      </c>
      <c r="Y13" s="84">
        <f t="shared" si="3"/>
        <v>0</v>
      </c>
      <c r="Z13" s="84">
        <f t="shared" si="3"/>
        <v>8</v>
      </c>
      <c r="AA13" s="84">
        <f t="shared" si="3"/>
        <v>10</v>
      </c>
      <c r="AB13" s="84">
        <f t="shared" si="3"/>
        <v>8</v>
      </c>
      <c r="AC13" s="84">
        <f t="shared" si="3"/>
        <v>8</v>
      </c>
      <c r="AD13" s="84">
        <f t="shared" si="3"/>
        <v>4</v>
      </c>
      <c r="AE13" s="84">
        <f t="shared" si="3"/>
        <v>2</v>
      </c>
      <c r="AF13" s="80">
        <f t="shared" si="3"/>
        <v>114</v>
      </c>
      <c r="AG13" s="80">
        <f t="shared" si="3"/>
        <v>164</v>
      </c>
      <c r="AH13" s="80">
        <f t="shared" si="3"/>
        <v>431</v>
      </c>
    </row>
    <row r="14" spans="1:34" ht="15.5" x14ac:dyDescent="0.35">
      <c r="D14" s="2"/>
      <c r="E14" s="2"/>
      <c r="F14" s="2"/>
      <c r="G14" s="2"/>
      <c r="H14" s="2"/>
      <c r="I14" s="2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4"/>
      <c r="AG14" s="4"/>
    </row>
    <row r="15" spans="1:34" x14ac:dyDescent="0.35">
      <c r="J15" s="106" t="s">
        <v>15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</row>
  </sheetData>
  <mergeCells count="3">
    <mergeCell ref="U1:Y1"/>
    <mergeCell ref="J15:AH15"/>
    <mergeCell ref="AA1:AC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7079-8FA0-4711-8B7B-1C9BAFF4284B}">
  <dimension ref="A1:AK15"/>
  <sheetViews>
    <sheetView topLeftCell="A2" zoomScaleNormal="100" workbookViewId="0">
      <selection activeCell="AJ4" sqref="AJ4"/>
    </sheetView>
  </sheetViews>
  <sheetFormatPr defaultRowHeight="14.5" x14ac:dyDescent="0.35"/>
  <cols>
    <col min="1" max="1" width="15.90625" customWidth="1"/>
    <col min="2" max="2" width="10.6328125" customWidth="1"/>
    <col min="3" max="3" width="7" customWidth="1"/>
    <col min="4" max="4" width="7.36328125" customWidth="1"/>
    <col min="5" max="12" width="2.6328125" customWidth="1"/>
    <col min="13" max="13" width="3.36328125" customWidth="1"/>
    <col min="14" max="15" width="3.08984375" customWidth="1"/>
    <col min="16" max="16" width="2.90625" customWidth="1"/>
    <col min="17" max="17" width="3.36328125" customWidth="1"/>
    <col min="18" max="18" width="3.453125" customWidth="1"/>
    <col min="19" max="19" width="3.08984375" customWidth="1"/>
    <col min="20" max="21" width="3.36328125" customWidth="1"/>
    <col min="22" max="22" width="3.453125" customWidth="1"/>
    <col min="23" max="23" width="3.08984375" customWidth="1"/>
    <col min="24" max="24" width="3" customWidth="1"/>
    <col min="25" max="25" width="3.08984375" customWidth="1"/>
    <col min="26" max="28" width="3" customWidth="1"/>
    <col min="29" max="33" width="3.08984375" customWidth="1"/>
    <col min="34" max="34" width="3" customWidth="1"/>
    <col min="35" max="35" width="6.90625" customWidth="1"/>
    <col min="36" max="36" width="5.36328125" customWidth="1"/>
    <col min="37" max="37" width="4.90625" customWidth="1"/>
  </cols>
  <sheetData>
    <row r="1" spans="1:37" ht="18.5" x14ac:dyDescent="0.45">
      <c r="B1" s="10" t="s">
        <v>8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s="104" t="s">
        <v>26</v>
      </c>
      <c r="V1" s="104"/>
      <c r="W1" s="104"/>
      <c r="X1" s="104"/>
      <c r="Y1" s="104"/>
      <c r="AA1" s="105">
        <v>2026</v>
      </c>
      <c r="AB1" s="105"/>
      <c r="AC1" s="105"/>
    </row>
    <row r="2" spans="1:37" ht="96.65" customHeight="1" x14ac:dyDescent="0.35">
      <c r="A2" s="5"/>
      <c r="B2" s="6"/>
      <c r="C2" s="69" t="s">
        <v>1</v>
      </c>
      <c r="D2" s="70">
        <v>1</v>
      </c>
      <c r="E2" s="70">
        <v>2</v>
      </c>
      <c r="F2" s="70">
        <v>3</v>
      </c>
      <c r="G2" s="70">
        <v>4</v>
      </c>
      <c r="H2" s="70">
        <v>5</v>
      </c>
      <c r="I2" s="70">
        <v>6</v>
      </c>
      <c r="J2" s="71">
        <v>7</v>
      </c>
      <c r="K2" s="71">
        <v>8</v>
      </c>
      <c r="L2" s="70">
        <v>9</v>
      </c>
      <c r="M2" s="70">
        <v>10</v>
      </c>
      <c r="N2" s="70">
        <v>11</v>
      </c>
      <c r="O2" s="70">
        <v>12</v>
      </c>
      <c r="P2" s="70">
        <v>13</v>
      </c>
      <c r="Q2" s="70">
        <v>14</v>
      </c>
      <c r="R2" s="70">
        <v>15</v>
      </c>
      <c r="S2" s="70">
        <v>16</v>
      </c>
      <c r="T2" s="70">
        <v>17</v>
      </c>
      <c r="U2" s="70">
        <v>18</v>
      </c>
      <c r="V2" s="70">
        <v>19</v>
      </c>
      <c r="W2" s="70">
        <v>20</v>
      </c>
      <c r="X2" s="70">
        <v>21</v>
      </c>
      <c r="Y2" s="70">
        <v>22</v>
      </c>
      <c r="Z2" s="70">
        <v>23</v>
      </c>
      <c r="AA2" s="70">
        <v>24</v>
      </c>
      <c r="AB2" s="70">
        <v>25</v>
      </c>
      <c r="AC2" s="70">
        <v>26</v>
      </c>
      <c r="AD2" s="70">
        <v>27</v>
      </c>
      <c r="AE2" s="70">
        <v>28</v>
      </c>
      <c r="AF2" s="70">
        <v>29</v>
      </c>
      <c r="AG2" s="70">
        <v>30</v>
      </c>
      <c r="AH2" s="70">
        <v>31</v>
      </c>
      <c r="AI2" s="20" t="s">
        <v>4</v>
      </c>
      <c r="AJ2" s="21" t="s">
        <v>2</v>
      </c>
      <c r="AK2" s="22" t="s">
        <v>3</v>
      </c>
    </row>
    <row r="3" spans="1:37" ht="15" customHeight="1" x14ac:dyDescent="0.35">
      <c r="A3" s="8" t="s">
        <v>6</v>
      </c>
      <c r="B3" s="7" t="s">
        <v>5</v>
      </c>
      <c r="C3" s="72"/>
      <c r="D3" s="73"/>
      <c r="E3" s="73"/>
      <c r="F3" s="73"/>
      <c r="G3" s="73"/>
      <c r="H3" s="73"/>
      <c r="I3" s="73"/>
      <c r="J3" s="74"/>
      <c r="K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23"/>
      <c r="AJ3" s="23"/>
      <c r="AK3" s="24"/>
    </row>
    <row r="4" spans="1:37" ht="34.25" customHeight="1" x14ac:dyDescent="0.35">
      <c r="A4" s="11" t="s">
        <v>9</v>
      </c>
      <c r="B4" s="9" t="s">
        <v>11</v>
      </c>
      <c r="C4" s="75">
        <v>77</v>
      </c>
      <c r="D4" s="76"/>
      <c r="E4" s="76"/>
      <c r="F4" s="76">
        <v>4</v>
      </c>
      <c r="G4" s="76"/>
      <c r="H4" s="76"/>
      <c r="I4" s="76"/>
      <c r="J4" s="77"/>
      <c r="K4" s="77"/>
      <c r="L4" s="76"/>
      <c r="M4" s="76">
        <v>4</v>
      </c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8">
        <f>SUM(D4:AH4)</f>
        <v>8</v>
      </c>
      <c r="AJ4" s="79">
        <f>'Februarie 2026'!AG4 + AI4</f>
        <v>42</v>
      </c>
      <c r="AK4" s="80">
        <f>C4-AJ4</f>
        <v>35</v>
      </c>
    </row>
    <row r="5" spans="1:37" ht="24" x14ac:dyDescent="0.35">
      <c r="A5" s="16" t="s">
        <v>9</v>
      </c>
      <c r="B5" s="9" t="s">
        <v>12</v>
      </c>
      <c r="C5" s="75">
        <v>78</v>
      </c>
      <c r="D5" s="76"/>
      <c r="E5" s="76"/>
      <c r="F5" s="76"/>
      <c r="G5" s="76"/>
      <c r="H5" s="76"/>
      <c r="I5" s="76"/>
      <c r="J5" s="77"/>
      <c r="K5" s="77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8">
        <f>SUM(D5:AH5)</f>
        <v>0</v>
      </c>
      <c r="AJ5" s="79">
        <f>'Februarie 2026'!AG5 + AI5</f>
        <v>26</v>
      </c>
      <c r="AK5" s="80">
        <f>C5-AJ5</f>
        <v>52</v>
      </c>
    </row>
    <row r="6" spans="1:37" ht="26.5" x14ac:dyDescent="0.35">
      <c r="A6" s="12" t="s">
        <v>10</v>
      </c>
      <c r="B6" s="14" t="s">
        <v>13</v>
      </c>
      <c r="C6" s="75">
        <v>40</v>
      </c>
      <c r="D6" s="76"/>
      <c r="E6" s="76">
        <v>2</v>
      </c>
      <c r="F6" s="76"/>
      <c r="G6" s="76"/>
      <c r="H6" s="76"/>
      <c r="I6" s="76"/>
      <c r="J6" s="77">
        <v>1</v>
      </c>
      <c r="K6" s="77"/>
      <c r="L6" s="76">
        <v>2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>
        <v>2</v>
      </c>
      <c r="AF6" s="76"/>
      <c r="AG6" s="76">
        <v>10</v>
      </c>
      <c r="AH6" s="76"/>
      <c r="AI6" s="78">
        <f>SUM(D6:AH6)</f>
        <v>17</v>
      </c>
      <c r="AJ6" s="79">
        <f>'Februarie 2026'!AG6 + AI6</f>
        <v>40</v>
      </c>
      <c r="AK6" s="80">
        <f t="shared" ref="AK6:AK11" si="0">C6-AJ6</f>
        <v>0</v>
      </c>
    </row>
    <row r="7" spans="1:37" ht="26.5" x14ac:dyDescent="0.35">
      <c r="A7" s="12" t="s">
        <v>10</v>
      </c>
      <c r="B7" s="15" t="s">
        <v>14</v>
      </c>
      <c r="C7" s="81">
        <v>40</v>
      </c>
      <c r="D7" s="82"/>
      <c r="E7" s="82"/>
      <c r="F7" s="82"/>
      <c r="G7" s="82">
        <v>2</v>
      </c>
      <c r="H7" s="82"/>
      <c r="I7" s="82"/>
      <c r="J7" s="83">
        <v>1</v>
      </c>
      <c r="K7" s="83"/>
      <c r="L7" s="82"/>
      <c r="M7" s="82"/>
      <c r="N7" s="82">
        <v>2</v>
      </c>
      <c r="O7" s="82"/>
      <c r="P7" s="82"/>
      <c r="Q7" s="82"/>
      <c r="R7" s="82"/>
      <c r="S7" s="82"/>
      <c r="T7" s="82"/>
      <c r="U7" s="82">
        <v>2</v>
      </c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78">
        <f>SUM(D7:AH7)</f>
        <v>7</v>
      </c>
      <c r="AJ7" s="79">
        <f>'Februarie 2026'!AG7 + AI7</f>
        <v>28</v>
      </c>
      <c r="AK7" s="80">
        <f t="shared" si="0"/>
        <v>12</v>
      </c>
    </row>
    <row r="8" spans="1:37" x14ac:dyDescent="0.35">
      <c r="A8" s="17" t="s">
        <v>18</v>
      </c>
      <c r="B8" s="14" t="s">
        <v>16</v>
      </c>
      <c r="C8" s="84">
        <v>120</v>
      </c>
      <c r="D8" s="73"/>
      <c r="E8" s="73">
        <v>6</v>
      </c>
      <c r="F8" s="73">
        <v>6</v>
      </c>
      <c r="G8" s="73">
        <v>6</v>
      </c>
      <c r="H8" s="73">
        <v>8</v>
      </c>
      <c r="I8" s="73">
        <v>4</v>
      </c>
      <c r="J8" s="74"/>
      <c r="K8" s="74"/>
      <c r="L8" s="73">
        <v>6</v>
      </c>
      <c r="M8" s="73">
        <v>6</v>
      </c>
      <c r="N8" s="73">
        <v>6</v>
      </c>
      <c r="O8" s="73">
        <v>8</v>
      </c>
      <c r="P8" s="73">
        <v>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8">
        <f>SUM(D8:AH8)</f>
        <v>60</v>
      </c>
      <c r="AJ8" s="79">
        <f>'Februarie 2026'!AG8 + AI8</f>
        <v>120</v>
      </c>
      <c r="AK8" s="80">
        <f t="shared" si="0"/>
        <v>0</v>
      </c>
    </row>
    <row r="9" spans="1:37" ht="26" x14ac:dyDescent="0.35">
      <c r="A9" s="18" t="s">
        <v>21</v>
      </c>
      <c r="B9" s="14" t="s">
        <v>17</v>
      </c>
      <c r="C9" s="84">
        <v>90</v>
      </c>
      <c r="D9" s="73"/>
      <c r="E9" s="73"/>
      <c r="F9" s="73"/>
      <c r="G9" s="73"/>
      <c r="H9" s="73"/>
      <c r="I9" s="73"/>
      <c r="J9" s="74"/>
      <c r="K9" s="74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8">
        <f t="shared" ref="AI9:AI11" si="1">SUM(D9:AH9)</f>
        <v>0</v>
      </c>
      <c r="AJ9" s="79">
        <f>'Februarie 2026'!AG9 + AI9</f>
        <v>0</v>
      </c>
      <c r="AK9" s="80">
        <f t="shared" si="0"/>
        <v>90</v>
      </c>
    </row>
    <row r="10" spans="1:37" x14ac:dyDescent="0.35">
      <c r="A10" s="19" t="s">
        <v>20</v>
      </c>
      <c r="B10" s="14" t="s">
        <v>12</v>
      </c>
      <c r="C10" s="84">
        <v>90</v>
      </c>
      <c r="D10" s="73"/>
      <c r="E10" s="73"/>
      <c r="F10" s="73"/>
      <c r="G10" s="73"/>
      <c r="H10" s="73"/>
      <c r="I10" s="73"/>
      <c r="J10" s="74"/>
      <c r="K10" s="74"/>
      <c r="L10" s="73"/>
      <c r="M10" s="73"/>
      <c r="N10" s="73"/>
      <c r="O10" s="73"/>
      <c r="P10" s="73"/>
      <c r="Q10" s="73"/>
      <c r="R10" s="73"/>
      <c r="S10" s="73">
        <v>4</v>
      </c>
      <c r="T10" s="73">
        <v>8</v>
      </c>
      <c r="U10" s="73">
        <v>4</v>
      </c>
      <c r="V10" s="73">
        <v>8</v>
      </c>
      <c r="W10" s="73">
        <v>8</v>
      </c>
      <c r="X10" s="73"/>
      <c r="Y10" s="73"/>
      <c r="Z10" s="73">
        <v>4</v>
      </c>
      <c r="AA10" s="73">
        <v>8</v>
      </c>
      <c r="AB10" s="73">
        <v>4</v>
      </c>
      <c r="AC10" s="73">
        <v>8</v>
      </c>
      <c r="AD10" s="73">
        <v>8</v>
      </c>
      <c r="AE10" s="73"/>
      <c r="AF10" s="73"/>
      <c r="AG10" s="73"/>
      <c r="AH10" s="73">
        <v>8</v>
      </c>
      <c r="AI10" s="78">
        <f t="shared" si="1"/>
        <v>72</v>
      </c>
      <c r="AJ10" s="79">
        <f>'Februarie 2026'!AG10 + AI10</f>
        <v>72</v>
      </c>
      <c r="AK10" s="80">
        <f t="shared" si="0"/>
        <v>18</v>
      </c>
    </row>
    <row r="11" spans="1:37" ht="40.25" customHeight="1" x14ac:dyDescent="0.35">
      <c r="A11" s="68" t="s">
        <v>19</v>
      </c>
      <c r="B11" s="65" t="s">
        <v>13</v>
      </c>
      <c r="C11" s="86">
        <v>60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87">
        <f t="shared" si="1"/>
        <v>0</v>
      </c>
      <c r="AJ11" s="79">
        <f>'Februarie 2026'!AG11 + AI11</f>
        <v>0</v>
      </c>
      <c r="AK11" s="89">
        <f t="shared" si="0"/>
        <v>60</v>
      </c>
    </row>
    <row r="12" spans="1:37" x14ac:dyDescent="0.35">
      <c r="A12" s="13"/>
      <c r="B12" s="66"/>
      <c r="C12" s="90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85"/>
      <c r="AJ12" s="85"/>
      <c r="AK12" s="80"/>
    </row>
    <row r="13" spans="1:37" x14ac:dyDescent="0.35">
      <c r="A13" s="67" t="s">
        <v>7</v>
      </c>
      <c r="B13" s="67"/>
      <c r="C13" s="90">
        <v>595</v>
      </c>
      <c r="D13" s="84">
        <f t="shared" ref="D13:AK13" si="2">SUM(D4:D11)</f>
        <v>0</v>
      </c>
      <c r="E13" s="84">
        <f t="shared" si="2"/>
        <v>8</v>
      </c>
      <c r="F13" s="84">
        <f t="shared" si="2"/>
        <v>10</v>
      </c>
      <c r="G13" s="84">
        <f t="shared" si="2"/>
        <v>8</v>
      </c>
      <c r="H13" s="84">
        <f t="shared" si="2"/>
        <v>8</v>
      </c>
      <c r="I13" s="84">
        <f t="shared" si="2"/>
        <v>4</v>
      </c>
      <c r="J13" s="84">
        <f t="shared" si="2"/>
        <v>2</v>
      </c>
      <c r="K13" s="84">
        <f t="shared" si="2"/>
        <v>0</v>
      </c>
      <c r="L13" s="84">
        <f t="shared" si="2"/>
        <v>8</v>
      </c>
      <c r="M13" s="84">
        <f t="shared" si="2"/>
        <v>10</v>
      </c>
      <c r="N13" s="84">
        <f t="shared" si="2"/>
        <v>8</v>
      </c>
      <c r="O13" s="84">
        <f t="shared" si="2"/>
        <v>8</v>
      </c>
      <c r="P13" s="84">
        <f t="shared" si="2"/>
        <v>4</v>
      </c>
      <c r="Q13" s="84">
        <f t="shared" si="2"/>
        <v>0</v>
      </c>
      <c r="R13" s="84">
        <f t="shared" si="2"/>
        <v>0</v>
      </c>
      <c r="S13" s="84">
        <f t="shared" si="2"/>
        <v>4</v>
      </c>
      <c r="T13" s="84">
        <f t="shared" si="2"/>
        <v>8</v>
      </c>
      <c r="U13" s="84">
        <f t="shared" si="2"/>
        <v>6</v>
      </c>
      <c r="V13" s="84">
        <f t="shared" si="2"/>
        <v>8</v>
      </c>
      <c r="W13" s="84">
        <f t="shared" si="2"/>
        <v>8</v>
      </c>
      <c r="X13" s="84">
        <f t="shared" si="2"/>
        <v>0</v>
      </c>
      <c r="Y13" s="84">
        <f t="shared" si="2"/>
        <v>0</v>
      </c>
      <c r="Z13" s="84">
        <f t="shared" si="2"/>
        <v>4</v>
      </c>
      <c r="AA13" s="84">
        <f t="shared" si="2"/>
        <v>8</v>
      </c>
      <c r="AB13" s="84">
        <f t="shared" si="2"/>
        <v>4</v>
      </c>
      <c r="AC13" s="84">
        <f t="shared" si="2"/>
        <v>8</v>
      </c>
      <c r="AD13" s="84">
        <f t="shared" si="2"/>
        <v>8</v>
      </c>
      <c r="AE13" s="84">
        <f t="shared" si="2"/>
        <v>2</v>
      </c>
      <c r="AF13" s="84">
        <f t="shared" si="2"/>
        <v>0</v>
      </c>
      <c r="AG13" s="84">
        <f t="shared" si="2"/>
        <v>10</v>
      </c>
      <c r="AH13" s="84">
        <f t="shared" si="2"/>
        <v>8</v>
      </c>
      <c r="AI13" s="80">
        <f t="shared" si="2"/>
        <v>164</v>
      </c>
      <c r="AJ13" s="80">
        <f t="shared" si="2"/>
        <v>328</v>
      </c>
      <c r="AK13" s="80">
        <f t="shared" si="2"/>
        <v>267</v>
      </c>
    </row>
    <row r="14" spans="1:37" ht="15.5" x14ac:dyDescent="0.35">
      <c r="D14" s="2"/>
      <c r="E14" s="2"/>
      <c r="F14" s="2"/>
      <c r="G14" s="2"/>
      <c r="H14" s="2"/>
      <c r="I14" s="2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4"/>
      <c r="AJ14" s="4"/>
    </row>
    <row r="15" spans="1:37" x14ac:dyDescent="0.35">
      <c r="J15" s="106" t="s">
        <v>15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</row>
  </sheetData>
  <mergeCells count="3">
    <mergeCell ref="U1:Y1"/>
    <mergeCell ref="AA1:AC1"/>
    <mergeCell ref="J15:AK1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9A4C-ADE2-4DE2-A247-93943356C63D}">
  <dimension ref="A1:AJ15"/>
  <sheetViews>
    <sheetView zoomScale="85" zoomScaleNormal="85" workbookViewId="0">
      <selection activeCell="AF11" sqref="AF11"/>
    </sheetView>
  </sheetViews>
  <sheetFormatPr defaultRowHeight="14.5" x14ac:dyDescent="0.35"/>
  <cols>
    <col min="1" max="1" width="15.90625" customWidth="1"/>
    <col min="2" max="2" width="10.6328125" customWidth="1"/>
    <col min="3" max="3" width="7" customWidth="1"/>
    <col min="4" max="4" width="7.36328125" customWidth="1"/>
    <col min="5" max="12" width="2.6328125" customWidth="1"/>
    <col min="13" max="13" width="3.36328125" customWidth="1"/>
    <col min="14" max="15" width="3.08984375" customWidth="1"/>
    <col min="16" max="16" width="2.90625" customWidth="1"/>
    <col min="17" max="17" width="3.36328125" customWidth="1"/>
    <col min="18" max="18" width="3.453125" customWidth="1"/>
    <col min="19" max="19" width="3.08984375" customWidth="1"/>
    <col min="20" max="21" width="3.36328125" customWidth="1"/>
    <col min="22" max="22" width="3.453125" customWidth="1"/>
    <col min="23" max="23" width="3.08984375" customWidth="1"/>
    <col min="24" max="24" width="3" customWidth="1"/>
    <col min="25" max="25" width="3.08984375" customWidth="1"/>
    <col min="26" max="28" width="3" customWidth="1"/>
    <col min="29" max="33" width="3.08984375" customWidth="1"/>
    <col min="34" max="34" width="6.90625" customWidth="1"/>
    <col min="35" max="35" width="5.36328125" customWidth="1"/>
    <col min="36" max="36" width="4.90625" customWidth="1"/>
  </cols>
  <sheetData>
    <row r="1" spans="1:36" ht="18.5" x14ac:dyDescent="0.45">
      <c r="B1" s="10" t="s">
        <v>8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s="104" t="s">
        <v>27</v>
      </c>
      <c r="V1" s="104"/>
      <c r="W1" s="104"/>
      <c r="X1" s="104"/>
      <c r="Y1" s="104"/>
      <c r="AA1" s="105">
        <v>2026</v>
      </c>
      <c r="AB1" s="105"/>
      <c r="AC1" s="105"/>
    </row>
    <row r="2" spans="1:36" ht="96.65" customHeight="1" x14ac:dyDescent="0.35">
      <c r="A2" s="5"/>
      <c r="B2" s="6"/>
      <c r="C2" s="69" t="s">
        <v>1</v>
      </c>
      <c r="D2" s="70">
        <v>1</v>
      </c>
      <c r="E2" s="70">
        <v>2</v>
      </c>
      <c r="F2" s="70">
        <v>3</v>
      </c>
      <c r="G2" s="70">
        <v>4</v>
      </c>
      <c r="H2" s="70">
        <v>5</v>
      </c>
      <c r="I2" s="70">
        <v>6</v>
      </c>
      <c r="J2" s="71">
        <v>7</v>
      </c>
      <c r="K2" s="71">
        <v>8</v>
      </c>
      <c r="L2" s="70">
        <v>9</v>
      </c>
      <c r="M2" s="70">
        <v>10</v>
      </c>
      <c r="N2" s="70">
        <v>11</v>
      </c>
      <c r="O2" s="70">
        <v>12</v>
      </c>
      <c r="P2" s="70">
        <v>13</v>
      </c>
      <c r="Q2" s="70">
        <v>14</v>
      </c>
      <c r="R2" s="70">
        <v>15</v>
      </c>
      <c r="S2" s="70">
        <v>16</v>
      </c>
      <c r="T2" s="70">
        <v>17</v>
      </c>
      <c r="U2" s="70">
        <v>18</v>
      </c>
      <c r="V2" s="70">
        <v>19</v>
      </c>
      <c r="W2" s="70">
        <v>20</v>
      </c>
      <c r="X2" s="70">
        <v>21</v>
      </c>
      <c r="Y2" s="70">
        <v>22</v>
      </c>
      <c r="Z2" s="70">
        <v>23</v>
      </c>
      <c r="AA2" s="70">
        <v>24</v>
      </c>
      <c r="AB2" s="70">
        <v>25</v>
      </c>
      <c r="AC2" s="70">
        <v>26</v>
      </c>
      <c r="AD2" s="70">
        <v>27</v>
      </c>
      <c r="AE2" s="70">
        <v>28</v>
      </c>
      <c r="AF2" s="70">
        <v>29</v>
      </c>
      <c r="AG2" s="70">
        <v>30</v>
      </c>
      <c r="AH2" s="20" t="s">
        <v>4</v>
      </c>
      <c r="AI2" s="21" t="s">
        <v>2</v>
      </c>
      <c r="AJ2" s="22" t="s">
        <v>3</v>
      </c>
    </row>
    <row r="3" spans="1:36" ht="15" customHeight="1" x14ac:dyDescent="0.35">
      <c r="A3" s="8" t="s">
        <v>6</v>
      </c>
      <c r="B3" s="7" t="s">
        <v>5</v>
      </c>
      <c r="C3" s="72"/>
      <c r="D3" s="73"/>
      <c r="E3" s="73"/>
      <c r="F3" s="73"/>
      <c r="G3" s="73"/>
      <c r="H3" s="73"/>
      <c r="I3" s="73"/>
      <c r="J3" s="74"/>
      <c r="K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23"/>
      <c r="AI3" s="23"/>
      <c r="AJ3" s="24"/>
    </row>
    <row r="4" spans="1:36" ht="34.25" customHeight="1" x14ac:dyDescent="0.35">
      <c r="A4" s="11" t="s">
        <v>9</v>
      </c>
      <c r="B4" s="9" t="s">
        <v>11</v>
      </c>
      <c r="C4" s="75">
        <v>77</v>
      </c>
      <c r="D4" s="76"/>
      <c r="E4" s="76"/>
      <c r="F4" s="76"/>
      <c r="G4" s="76"/>
      <c r="H4" s="76"/>
      <c r="I4" s="76"/>
      <c r="J4" s="77">
        <v>4</v>
      </c>
      <c r="K4" s="77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>
        <v>4</v>
      </c>
      <c r="Y4" s="76"/>
      <c r="Z4" s="76"/>
      <c r="AA4" s="76"/>
      <c r="AB4" s="76"/>
      <c r="AC4" s="76"/>
      <c r="AD4" s="76"/>
      <c r="AE4" s="76">
        <v>4</v>
      </c>
      <c r="AF4" s="76"/>
      <c r="AG4" s="76"/>
      <c r="AH4" s="78">
        <f t="shared" ref="AH4:AH11" si="0">SUM(D4:AG4)</f>
        <v>12</v>
      </c>
      <c r="AI4" s="79">
        <f>'Martie 2026'!AJ4 + AH4</f>
        <v>54</v>
      </c>
      <c r="AJ4" s="80">
        <f t="shared" ref="AJ4:AJ11" si="1">C4-AI4</f>
        <v>23</v>
      </c>
    </row>
    <row r="5" spans="1:36" ht="24" x14ac:dyDescent="0.35">
      <c r="A5" s="16" t="s">
        <v>9</v>
      </c>
      <c r="B5" s="9" t="s">
        <v>12</v>
      </c>
      <c r="C5" s="75">
        <v>78</v>
      </c>
      <c r="D5" s="76"/>
      <c r="E5" s="76"/>
      <c r="F5" s="76"/>
      <c r="G5" s="76"/>
      <c r="H5" s="76"/>
      <c r="I5" s="76"/>
      <c r="J5" s="77"/>
      <c r="K5" s="77"/>
      <c r="L5" s="76"/>
      <c r="M5" s="76">
        <v>4</v>
      </c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>
        <v>4</v>
      </c>
      <c r="AB5" s="76"/>
      <c r="AC5" s="76"/>
      <c r="AD5" s="76"/>
      <c r="AE5" s="76"/>
      <c r="AF5" s="76"/>
      <c r="AG5" s="76"/>
      <c r="AH5" s="78">
        <f t="shared" si="0"/>
        <v>8</v>
      </c>
      <c r="AI5" s="79">
        <f>'Martie 2026'!AJ5 + AH5</f>
        <v>34</v>
      </c>
      <c r="AJ5" s="80">
        <f t="shared" si="1"/>
        <v>44</v>
      </c>
    </row>
    <row r="6" spans="1:36" ht="26.5" x14ac:dyDescent="0.35">
      <c r="A6" s="12" t="s">
        <v>10</v>
      </c>
      <c r="B6" s="14" t="s">
        <v>13</v>
      </c>
      <c r="C6" s="75">
        <v>40</v>
      </c>
      <c r="D6" s="76"/>
      <c r="E6" s="76"/>
      <c r="F6" s="76"/>
      <c r="G6" s="76"/>
      <c r="H6" s="76"/>
      <c r="I6" s="76"/>
      <c r="J6" s="77"/>
      <c r="K6" s="77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8">
        <f t="shared" si="0"/>
        <v>0</v>
      </c>
      <c r="AI6" s="79">
        <f>'Martie 2026'!AJ6 + AH6</f>
        <v>40</v>
      </c>
      <c r="AJ6" s="80">
        <f t="shared" si="1"/>
        <v>0</v>
      </c>
    </row>
    <row r="7" spans="1:36" ht="26.5" x14ac:dyDescent="0.35">
      <c r="A7" s="12" t="s">
        <v>10</v>
      </c>
      <c r="B7" s="15" t="s">
        <v>14</v>
      </c>
      <c r="C7" s="81">
        <v>40</v>
      </c>
      <c r="D7" s="82"/>
      <c r="E7" s="82"/>
      <c r="F7" s="82"/>
      <c r="G7" s="82"/>
      <c r="H7" s="82"/>
      <c r="I7" s="82"/>
      <c r="J7" s="83"/>
      <c r="K7" s="83">
        <v>2</v>
      </c>
      <c r="L7" s="82">
        <v>10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78">
        <f t="shared" si="0"/>
        <v>12</v>
      </c>
      <c r="AI7" s="79">
        <f>'Martie 2026'!AJ7 + AH7</f>
        <v>40</v>
      </c>
      <c r="AJ7" s="80">
        <f t="shared" si="1"/>
        <v>0</v>
      </c>
    </row>
    <row r="8" spans="1:36" x14ac:dyDescent="0.35">
      <c r="A8" s="17" t="s">
        <v>18</v>
      </c>
      <c r="B8" s="14" t="s">
        <v>16</v>
      </c>
      <c r="C8" s="84">
        <v>120</v>
      </c>
      <c r="D8" s="73"/>
      <c r="E8" s="73"/>
      <c r="F8" s="73"/>
      <c r="G8" s="73"/>
      <c r="H8" s="73"/>
      <c r="I8" s="73"/>
      <c r="J8" s="74"/>
      <c r="K8" s="74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8">
        <f t="shared" si="0"/>
        <v>0</v>
      </c>
      <c r="AI8" s="79">
        <f>'Martie 2026'!AJ8 + AH8</f>
        <v>120</v>
      </c>
      <c r="AJ8" s="80">
        <f t="shared" si="1"/>
        <v>0</v>
      </c>
    </row>
    <row r="9" spans="1:36" ht="26" x14ac:dyDescent="0.35">
      <c r="A9" s="18" t="s">
        <v>21</v>
      </c>
      <c r="B9" s="14" t="s">
        <v>17</v>
      </c>
      <c r="C9" s="84">
        <v>90</v>
      </c>
      <c r="D9" s="73"/>
      <c r="E9" s="73"/>
      <c r="F9" s="73"/>
      <c r="G9" s="73"/>
      <c r="H9" s="73"/>
      <c r="I9" s="73"/>
      <c r="J9" s="74"/>
      <c r="K9" s="74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8">
        <f t="shared" si="0"/>
        <v>0</v>
      </c>
      <c r="AI9" s="79">
        <f>'Martie 2026'!AJ9 + AH9</f>
        <v>0</v>
      </c>
      <c r="AJ9" s="80">
        <f t="shared" si="1"/>
        <v>90</v>
      </c>
    </row>
    <row r="10" spans="1:36" x14ac:dyDescent="0.35">
      <c r="A10" s="19" t="s">
        <v>20</v>
      </c>
      <c r="B10" s="14" t="s">
        <v>12</v>
      </c>
      <c r="C10" s="84">
        <v>90</v>
      </c>
      <c r="D10" s="73">
        <v>4</v>
      </c>
      <c r="E10" s="73">
        <v>8</v>
      </c>
      <c r="F10" s="73">
        <v>6</v>
      </c>
      <c r="G10" s="73"/>
      <c r="H10" s="73"/>
      <c r="I10" s="73"/>
      <c r="J10" s="74"/>
      <c r="K10" s="74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8">
        <f t="shared" si="0"/>
        <v>18</v>
      </c>
      <c r="AI10" s="79">
        <f>'Martie 2026'!AJ10 + AH10</f>
        <v>90</v>
      </c>
      <c r="AJ10" s="80">
        <f t="shared" si="1"/>
        <v>0</v>
      </c>
    </row>
    <row r="11" spans="1:36" ht="40.25" customHeight="1" x14ac:dyDescent="0.35">
      <c r="A11" s="68" t="s">
        <v>19</v>
      </c>
      <c r="B11" s="65" t="s">
        <v>13</v>
      </c>
      <c r="C11" s="86">
        <v>60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>
        <v>8</v>
      </c>
      <c r="AG11" s="70"/>
      <c r="AH11" s="87">
        <f t="shared" si="0"/>
        <v>8</v>
      </c>
      <c r="AI11" s="79">
        <f>'Martie 2026'!AJ11 + AH11</f>
        <v>8</v>
      </c>
      <c r="AJ11" s="89">
        <f t="shared" si="1"/>
        <v>52</v>
      </c>
    </row>
    <row r="12" spans="1:36" x14ac:dyDescent="0.35">
      <c r="A12" s="13"/>
      <c r="B12" s="66"/>
      <c r="C12" s="90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85"/>
      <c r="AI12" s="85"/>
      <c r="AJ12" s="80"/>
    </row>
    <row r="13" spans="1:36" x14ac:dyDescent="0.35">
      <c r="A13" s="67" t="s">
        <v>7</v>
      </c>
      <c r="B13" s="67"/>
      <c r="C13" s="90">
        <v>595</v>
      </c>
      <c r="D13" s="84">
        <f t="shared" ref="D13:AJ13" si="2">SUM(D4:D11)</f>
        <v>4</v>
      </c>
      <c r="E13" s="84">
        <f t="shared" si="2"/>
        <v>8</v>
      </c>
      <c r="F13" s="84">
        <f t="shared" si="2"/>
        <v>6</v>
      </c>
      <c r="G13" s="84">
        <f t="shared" si="2"/>
        <v>0</v>
      </c>
      <c r="H13" s="84">
        <f t="shared" si="2"/>
        <v>0</v>
      </c>
      <c r="I13" s="84">
        <f t="shared" si="2"/>
        <v>0</v>
      </c>
      <c r="J13" s="84">
        <f t="shared" si="2"/>
        <v>4</v>
      </c>
      <c r="K13" s="84">
        <f t="shared" si="2"/>
        <v>2</v>
      </c>
      <c r="L13" s="84">
        <f t="shared" si="2"/>
        <v>10</v>
      </c>
      <c r="M13" s="84">
        <f t="shared" si="2"/>
        <v>4</v>
      </c>
      <c r="N13" s="84">
        <f t="shared" si="2"/>
        <v>0</v>
      </c>
      <c r="O13" s="84">
        <f t="shared" si="2"/>
        <v>0</v>
      </c>
      <c r="P13" s="84">
        <f t="shared" si="2"/>
        <v>0</v>
      </c>
      <c r="Q13" s="84">
        <f t="shared" si="2"/>
        <v>0</v>
      </c>
      <c r="R13" s="84">
        <f t="shared" si="2"/>
        <v>0</v>
      </c>
      <c r="S13" s="84">
        <f t="shared" si="2"/>
        <v>0</v>
      </c>
      <c r="T13" s="84">
        <f t="shared" si="2"/>
        <v>0</v>
      </c>
      <c r="U13" s="84">
        <f t="shared" si="2"/>
        <v>0</v>
      </c>
      <c r="V13" s="84">
        <f t="shared" si="2"/>
        <v>0</v>
      </c>
      <c r="W13" s="84">
        <f t="shared" si="2"/>
        <v>0</v>
      </c>
      <c r="X13" s="84">
        <f t="shared" si="2"/>
        <v>4</v>
      </c>
      <c r="Y13" s="84">
        <f t="shared" si="2"/>
        <v>0</v>
      </c>
      <c r="Z13" s="84">
        <f t="shared" si="2"/>
        <v>0</v>
      </c>
      <c r="AA13" s="84">
        <f t="shared" si="2"/>
        <v>4</v>
      </c>
      <c r="AB13" s="84">
        <f t="shared" si="2"/>
        <v>0</v>
      </c>
      <c r="AC13" s="84">
        <f t="shared" si="2"/>
        <v>0</v>
      </c>
      <c r="AD13" s="84">
        <f t="shared" si="2"/>
        <v>0</v>
      </c>
      <c r="AE13" s="84">
        <f t="shared" si="2"/>
        <v>4</v>
      </c>
      <c r="AF13" s="84">
        <f t="shared" si="2"/>
        <v>8</v>
      </c>
      <c r="AG13" s="84">
        <f t="shared" si="2"/>
        <v>0</v>
      </c>
      <c r="AH13" s="80">
        <f t="shared" si="2"/>
        <v>58</v>
      </c>
      <c r="AI13" s="80">
        <f t="shared" si="2"/>
        <v>386</v>
      </c>
      <c r="AJ13" s="80">
        <f t="shared" si="2"/>
        <v>209</v>
      </c>
    </row>
    <row r="14" spans="1:36" ht="15.5" x14ac:dyDescent="0.35">
      <c r="D14" s="2"/>
      <c r="E14" s="2"/>
      <c r="F14" s="2"/>
      <c r="G14" s="2"/>
      <c r="H14" s="2"/>
      <c r="I14" s="2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/>
      <c r="AI14" s="4"/>
    </row>
    <row r="15" spans="1:36" x14ac:dyDescent="0.35">
      <c r="J15" s="106" t="s">
        <v>15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</sheetData>
  <mergeCells count="3">
    <mergeCell ref="U1:Y1"/>
    <mergeCell ref="AA1:AC1"/>
    <mergeCell ref="J15:AJ1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166C-26DF-4C61-8353-F16AAD6A17D2}">
  <dimension ref="A1:AK15"/>
  <sheetViews>
    <sheetView topLeftCell="A2" zoomScale="85" zoomScaleNormal="85" workbookViewId="0">
      <selection activeCell="AC5" sqref="AC5"/>
    </sheetView>
  </sheetViews>
  <sheetFormatPr defaultRowHeight="14.5" x14ac:dyDescent="0.35"/>
  <cols>
    <col min="1" max="1" width="15.90625" customWidth="1"/>
    <col min="2" max="2" width="10.6328125" customWidth="1"/>
    <col min="3" max="3" width="7" customWidth="1"/>
    <col min="4" max="4" width="7.36328125" customWidth="1"/>
    <col min="5" max="12" width="2.6328125" customWidth="1"/>
    <col min="13" max="13" width="3.36328125" customWidth="1"/>
    <col min="14" max="15" width="3.08984375" customWidth="1"/>
    <col min="16" max="16" width="2.90625" customWidth="1"/>
    <col min="17" max="17" width="3.36328125" customWidth="1"/>
    <col min="18" max="18" width="3.453125" customWidth="1"/>
    <col min="19" max="19" width="3.08984375" customWidth="1"/>
    <col min="20" max="21" width="3.36328125" customWidth="1"/>
    <col min="22" max="22" width="3.453125" customWidth="1"/>
    <col min="23" max="23" width="3.08984375" customWidth="1"/>
    <col min="24" max="24" width="3" customWidth="1"/>
    <col min="25" max="25" width="3.08984375" customWidth="1"/>
    <col min="26" max="28" width="3" customWidth="1"/>
    <col min="29" max="33" width="3.08984375" customWidth="1"/>
    <col min="34" max="34" width="6.90625" customWidth="1"/>
    <col min="35" max="35" width="5.36328125" customWidth="1"/>
    <col min="36" max="36" width="4.90625" customWidth="1"/>
  </cols>
  <sheetData>
    <row r="1" spans="1:37" ht="18.5" x14ac:dyDescent="0.45">
      <c r="B1" s="10" t="s">
        <v>8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s="104" t="s">
        <v>28</v>
      </c>
      <c r="V1" s="104"/>
      <c r="W1" s="104"/>
      <c r="X1" s="104"/>
      <c r="Y1" s="104"/>
      <c r="AA1" s="105">
        <v>2026</v>
      </c>
      <c r="AB1" s="105"/>
      <c r="AC1" s="105"/>
    </row>
    <row r="2" spans="1:37" ht="96.65" customHeight="1" x14ac:dyDescent="0.35">
      <c r="A2" s="5"/>
      <c r="B2" s="6"/>
      <c r="C2" s="69" t="s">
        <v>1</v>
      </c>
      <c r="D2" s="70">
        <v>1</v>
      </c>
      <c r="E2" s="70">
        <v>2</v>
      </c>
      <c r="F2" s="70">
        <v>3</v>
      </c>
      <c r="G2" s="70">
        <v>4</v>
      </c>
      <c r="H2" s="70">
        <v>5</v>
      </c>
      <c r="I2" s="70">
        <v>6</v>
      </c>
      <c r="J2" s="71">
        <v>7</v>
      </c>
      <c r="K2" s="71">
        <v>8</v>
      </c>
      <c r="L2" s="70">
        <v>9</v>
      </c>
      <c r="M2" s="70">
        <v>10</v>
      </c>
      <c r="N2" s="70">
        <v>11</v>
      </c>
      <c r="O2" s="70">
        <v>12</v>
      </c>
      <c r="P2" s="70">
        <v>13</v>
      </c>
      <c r="Q2" s="70">
        <v>14</v>
      </c>
      <c r="R2" s="70">
        <v>15</v>
      </c>
      <c r="S2" s="70">
        <v>16</v>
      </c>
      <c r="T2" s="70">
        <v>17</v>
      </c>
      <c r="U2" s="70">
        <v>18</v>
      </c>
      <c r="V2" s="70">
        <v>19</v>
      </c>
      <c r="W2" s="70">
        <v>20</v>
      </c>
      <c r="X2" s="70">
        <v>21</v>
      </c>
      <c r="Y2" s="70">
        <v>22</v>
      </c>
      <c r="Z2" s="70">
        <v>23</v>
      </c>
      <c r="AA2" s="70">
        <v>24</v>
      </c>
      <c r="AB2" s="70">
        <v>25</v>
      </c>
      <c r="AC2" s="70">
        <v>26</v>
      </c>
      <c r="AD2" s="70">
        <v>27</v>
      </c>
      <c r="AE2" s="70">
        <v>28</v>
      </c>
      <c r="AF2" s="70">
        <v>29</v>
      </c>
      <c r="AG2" s="70">
        <v>30</v>
      </c>
      <c r="AH2" s="70">
        <v>31</v>
      </c>
      <c r="AI2" s="20" t="s">
        <v>4</v>
      </c>
      <c r="AJ2" s="21" t="s">
        <v>2</v>
      </c>
      <c r="AK2" s="22" t="s">
        <v>3</v>
      </c>
    </row>
    <row r="3" spans="1:37" ht="15" customHeight="1" x14ac:dyDescent="0.35">
      <c r="A3" s="8" t="s">
        <v>6</v>
      </c>
      <c r="B3" s="7" t="s">
        <v>5</v>
      </c>
      <c r="C3" s="72"/>
      <c r="D3" s="73"/>
      <c r="E3" s="73"/>
      <c r="F3" s="73"/>
      <c r="G3" s="73"/>
      <c r="H3" s="73"/>
      <c r="I3" s="73"/>
      <c r="J3" s="74"/>
      <c r="K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23"/>
      <c r="AJ3" s="23"/>
      <c r="AK3" s="24"/>
    </row>
    <row r="4" spans="1:37" ht="34.25" customHeight="1" x14ac:dyDescent="0.35">
      <c r="A4" s="11" t="s">
        <v>9</v>
      </c>
      <c r="B4" s="9" t="s">
        <v>11</v>
      </c>
      <c r="C4" s="75">
        <v>77</v>
      </c>
      <c r="D4" s="76"/>
      <c r="E4" s="76"/>
      <c r="F4" s="76"/>
      <c r="G4" s="76"/>
      <c r="H4" s="76">
        <v>4</v>
      </c>
      <c r="I4" s="76"/>
      <c r="J4" s="77"/>
      <c r="K4" s="77"/>
      <c r="L4" s="76"/>
      <c r="M4" s="76"/>
      <c r="N4" s="76"/>
      <c r="O4" s="76">
        <v>4</v>
      </c>
      <c r="P4" s="76"/>
      <c r="Q4" s="76"/>
      <c r="R4" s="76"/>
      <c r="S4" s="76"/>
      <c r="T4" s="76"/>
      <c r="U4" s="76"/>
      <c r="V4" s="76">
        <v>4</v>
      </c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8">
        <f t="shared" ref="AI4:AI11" si="0">SUM(D4:AH4)</f>
        <v>12</v>
      </c>
      <c r="AJ4" s="79">
        <f>'Aprilie 2026'!AI4 + AI4</f>
        <v>66</v>
      </c>
      <c r="AK4" s="80">
        <f t="shared" ref="AK4:AK11" si="1">C4-AJ4</f>
        <v>11</v>
      </c>
    </row>
    <row r="5" spans="1:37" ht="24" x14ac:dyDescent="0.35">
      <c r="A5" s="16" t="s">
        <v>9</v>
      </c>
      <c r="B5" s="9" t="s">
        <v>12</v>
      </c>
      <c r="C5" s="75">
        <v>78</v>
      </c>
      <c r="D5" s="76"/>
      <c r="E5" s="76"/>
      <c r="F5" s="76"/>
      <c r="G5" s="76"/>
      <c r="H5" s="76"/>
      <c r="I5" s="76"/>
      <c r="J5" s="77"/>
      <c r="K5" s="77">
        <v>4</v>
      </c>
      <c r="L5" s="76"/>
      <c r="M5" s="76"/>
      <c r="N5" s="76"/>
      <c r="O5" s="76"/>
      <c r="P5" s="76"/>
      <c r="Q5" s="76"/>
      <c r="R5" s="76">
        <v>4</v>
      </c>
      <c r="S5" s="76"/>
      <c r="T5" s="76"/>
      <c r="U5" s="76"/>
      <c r="V5" s="76"/>
      <c r="W5" s="76"/>
      <c r="X5" s="76"/>
      <c r="Y5" s="76"/>
      <c r="Z5" s="76"/>
      <c r="AA5" s="76"/>
      <c r="AB5" s="76">
        <v>8</v>
      </c>
      <c r="AC5" s="76">
        <v>8</v>
      </c>
      <c r="AD5" s="76"/>
      <c r="AE5" s="76">
        <v>8</v>
      </c>
      <c r="AF5" s="76"/>
      <c r="AG5" s="76"/>
      <c r="AH5" s="76"/>
      <c r="AI5" s="78">
        <f t="shared" si="0"/>
        <v>32</v>
      </c>
      <c r="AJ5" s="79">
        <f>'Aprilie 2026'!AI5 + AI5</f>
        <v>66</v>
      </c>
      <c r="AK5" s="80">
        <f t="shared" si="1"/>
        <v>12</v>
      </c>
    </row>
    <row r="6" spans="1:37" ht="26.5" x14ac:dyDescent="0.35">
      <c r="A6" s="12" t="s">
        <v>10</v>
      </c>
      <c r="B6" s="14" t="s">
        <v>13</v>
      </c>
      <c r="C6" s="75">
        <v>40</v>
      </c>
      <c r="D6" s="76"/>
      <c r="E6" s="76"/>
      <c r="F6" s="76"/>
      <c r="G6" s="76"/>
      <c r="H6" s="76"/>
      <c r="I6" s="76"/>
      <c r="J6" s="77"/>
      <c r="K6" s="77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8">
        <f t="shared" si="0"/>
        <v>0</v>
      </c>
      <c r="AJ6" s="79">
        <f>'Aprilie 2026'!AI6 + AI6</f>
        <v>40</v>
      </c>
      <c r="AK6" s="80">
        <f t="shared" si="1"/>
        <v>0</v>
      </c>
    </row>
    <row r="7" spans="1:37" ht="26.5" x14ac:dyDescent="0.35">
      <c r="A7" s="12" t="s">
        <v>10</v>
      </c>
      <c r="B7" s="15" t="s">
        <v>14</v>
      </c>
      <c r="C7" s="81">
        <v>40</v>
      </c>
      <c r="D7" s="82"/>
      <c r="E7" s="82"/>
      <c r="F7" s="82"/>
      <c r="G7" s="82"/>
      <c r="H7" s="82"/>
      <c r="I7" s="82"/>
      <c r="J7" s="83"/>
      <c r="K7" s="8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78">
        <f t="shared" si="0"/>
        <v>0</v>
      </c>
      <c r="AJ7" s="79">
        <f>'Aprilie 2026'!AI7 + AI7</f>
        <v>40</v>
      </c>
      <c r="AK7" s="80">
        <f t="shared" si="1"/>
        <v>0</v>
      </c>
    </row>
    <row r="8" spans="1:37" x14ac:dyDescent="0.35">
      <c r="A8" s="17" t="s">
        <v>18</v>
      </c>
      <c r="B8" s="14" t="s">
        <v>16</v>
      </c>
      <c r="C8" s="84">
        <v>120</v>
      </c>
      <c r="D8" s="73"/>
      <c r="E8" s="73"/>
      <c r="F8" s="73"/>
      <c r="G8" s="73"/>
      <c r="H8" s="73"/>
      <c r="I8" s="73"/>
      <c r="J8" s="74"/>
      <c r="K8" s="74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8">
        <f t="shared" si="0"/>
        <v>0</v>
      </c>
      <c r="AJ8" s="79">
        <f>'Aprilie 2026'!AI8 + AI8</f>
        <v>120</v>
      </c>
      <c r="AK8" s="80">
        <f t="shared" si="1"/>
        <v>0</v>
      </c>
    </row>
    <row r="9" spans="1:37" ht="26" x14ac:dyDescent="0.35">
      <c r="A9" s="18" t="s">
        <v>21</v>
      </c>
      <c r="B9" s="14" t="s">
        <v>17</v>
      </c>
      <c r="C9" s="84">
        <v>90</v>
      </c>
      <c r="D9" s="73"/>
      <c r="E9" s="73"/>
      <c r="F9" s="73"/>
      <c r="G9" s="73">
        <v>10</v>
      </c>
      <c r="H9" s="73">
        <v>6</v>
      </c>
      <c r="I9" s="73">
        <v>2</v>
      </c>
      <c r="J9" s="74">
        <v>8</v>
      </c>
      <c r="K9" s="74">
        <v>6</v>
      </c>
      <c r="L9" s="73"/>
      <c r="M9" s="73"/>
      <c r="N9" s="73">
        <v>10</v>
      </c>
      <c r="O9" s="73">
        <v>6</v>
      </c>
      <c r="P9" s="73">
        <v>2</v>
      </c>
      <c r="Q9" s="73">
        <v>8</v>
      </c>
      <c r="R9" s="73">
        <v>6</v>
      </c>
      <c r="S9" s="73"/>
      <c r="T9" s="73"/>
      <c r="U9" s="73">
        <v>10</v>
      </c>
      <c r="V9" s="73">
        <v>6</v>
      </c>
      <c r="W9" s="73">
        <v>2</v>
      </c>
      <c r="X9" s="73">
        <v>8</v>
      </c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8">
        <f t="shared" si="0"/>
        <v>90</v>
      </c>
      <c r="AJ9" s="79">
        <f>'Aprilie 2026'!AI9 + AI9</f>
        <v>90</v>
      </c>
      <c r="AK9" s="80">
        <f t="shared" si="1"/>
        <v>0</v>
      </c>
    </row>
    <row r="10" spans="1:37" x14ac:dyDescent="0.35">
      <c r="A10" s="19" t="s">
        <v>20</v>
      </c>
      <c r="B10" s="14" t="s">
        <v>12</v>
      </c>
      <c r="C10" s="84">
        <v>90</v>
      </c>
      <c r="D10" s="73"/>
      <c r="E10" s="73"/>
      <c r="F10" s="73"/>
      <c r="G10" s="73"/>
      <c r="H10" s="73"/>
      <c r="I10" s="73"/>
      <c r="J10" s="74"/>
      <c r="K10" s="74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8">
        <f t="shared" si="0"/>
        <v>0</v>
      </c>
      <c r="AJ10" s="79">
        <f>'Aprilie 2026'!AI10 + AI10</f>
        <v>90</v>
      </c>
      <c r="AK10" s="80">
        <f t="shared" si="1"/>
        <v>0</v>
      </c>
    </row>
    <row r="11" spans="1:37" ht="40.25" customHeight="1" x14ac:dyDescent="0.35">
      <c r="A11" s="68" t="s">
        <v>19</v>
      </c>
      <c r="B11" s="65" t="s">
        <v>13</v>
      </c>
      <c r="C11" s="86">
        <v>60</v>
      </c>
      <c r="D11" s="70"/>
      <c r="E11" s="70"/>
      <c r="F11" s="70"/>
      <c r="G11" s="70"/>
      <c r="H11" s="70"/>
      <c r="I11" s="70">
        <v>6</v>
      </c>
      <c r="J11" s="70"/>
      <c r="K11" s="70"/>
      <c r="L11" s="70"/>
      <c r="M11" s="70"/>
      <c r="N11" s="70"/>
      <c r="O11" s="70"/>
      <c r="P11" s="70">
        <v>8</v>
      </c>
      <c r="Q11" s="70"/>
      <c r="R11" s="70"/>
      <c r="S11" s="70"/>
      <c r="T11" s="70"/>
      <c r="U11" s="70"/>
      <c r="V11" s="70"/>
      <c r="W11" s="70">
        <v>6</v>
      </c>
      <c r="X11" s="70"/>
      <c r="Y11" s="70"/>
      <c r="Z11" s="70"/>
      <c r="AA11" s="70"/>
      <c r="AB11" s="70"/>
      <c r="AC11" s="70"/>
      <c r="AD11" s="70">
        <v>8</v>
      </c>
      <c r="AE11" s="70"/>
      <c r="AF11" s="70"/>
      <c r="AG11" s="70"/>
      <c r="AH11" s="70"/>
      <c r="AI11" s="87">
        <f t="shared" si="0"/>
        <v>28</v>
      </c>
      <c r="AJ11" s="79">
        <f>'Aprilie 2026'!AI11 + AI11</f>
        <v>36</v>
      </c>
      <c r="AK11" s="89">
        <f t="shared" si="1"/>
        <v>24</v>
      </c>
    </row>
    <row r="12" spans="1:37" x14ac:dyDescent="0.35">
      <c r="A12" s="13"/>
      <c r="B12" s="66"/>
      <c r="C12" s="90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85"/>
      <c r="AJ12" s="85"/>
      <c r="AK12" s="80"/>
    </row>
    <row r="13" spans="1:37" x14ac:dyDescent="0.35">
      <c r="A13" s="67" t="s">
        <v>7</v>
      </c>
      <c r="B13" s="67"/>
      <c r="C13" s="90">
        <v>595</v>
      </c>
      <c r="D13" s="84">
        <f t="shared" ref="D13:AK13" si="2">SUM(D4:D11)</f>
        <v>0</v>
      </c>
      <c r="E13" s="84">
        <f t="shared" si="2"/>
        <v>0</v>
      </c>
      <c r="F13" s="84">
        <f t="shared" si="2"/>
        <v>0</v>
      </c>
      <c r="G13" s="84">
        <f t="shared" si="2"/>
        <v>10</v>
      </c>
      <c r="H13" s="84">
        <f t="shared" si="2"/>
        <v>10</v>
      </c>
      <c r="I13" s="84">
        <f t="shared" si="2"/>
        <v>8</v>
      </c>
      <c r="J13" s="84">
        <f t="shared" si="2"/>
        <v>8</v>
      </c>
      <c r="K13" s="84">
        <f t="shared" si="2"/>
        <v>10</v>
      </c>
      <c r="L13" s="84">
        <f t="shared" si="2"/>
        <v>0</v>
      </c>
      <c r="M13" s="84">
        <f t="shared" si="2"/>
        <v>0</v>
      </c>
      <c r="N13" s="84">
        <f t="shared" si="2"/>
        <v>10</v>
      </c>
      <c r="O13" s="84">
        <f t="shared" si="2"/>
        <v>10</v>
      </c>
      <c r="P13" s="84">
        <f t="shared" si="2"/>
        <v>10</v>
      </c>
      <c r="Q13" s="84">
        <f t="shared" si="2"/>
        <v>8</v>
      </c>
      <c r="R13" s="84">
        <f t="shared" si="2"/>
        <v>10</v>
      </c>
      <c r="S13" s="84">
        <f t="shared" si="2"/>
        <v>0</v>
      </c>
      <c r="T13" s="84">
        <f t="shared" si="2"/>
        <v>0</v>
      </c>
      <c r="U13" s="84">
        <f t="shared" si="2"/>
        <v>10</v>
      </c>
      <c r="V13" s="84">
        <f t="shared" si="2"/>
        <v>10</v>
      </c>
      <c r="W13" s="84">
        <f t="shared" si="2"/>
        <v>8</v>
      </c>
      <c r="X13" s="84">
        <f t="shared" si="2"/>
        <v>8</v>
      </c>
      <c r="Y13" s="84">
        <f t="shared" si="2"/>
        <v>0</v>
      </c>
      <c r="Z13" s="84">
        <f t="shared" si="2"/>
        <v>0</v>
      </c>
      <c r="AA13" s="84">
        <f t="shared" si="2"/>
        <v>0</v>
      </c>
      <c r="AB13" s="84">
        <f t="shared" si="2"/>
        <v>8</v>
      </c>
      <c r="AC13" s="84">
        <f t="shared" si="2"/>
        <v>8</v>
      </c>
      <c r="AD13" s="84">
        <f t="shared" si="2"/>
        <v>8</v>
      </c>
      <c r="AE13" s="84">
        <f t="shared" si="2"/>
        <v>8</v>
      </c>
      <c r="AF13" s="84">
        <f t="shared" si="2"/>
        <v>0</v>
      </c>
      <c r="AG13" s="84">
        <f t="shared" si="2"/>
        <v>0</v>
      </c>
      <c r="AH13" s="84">
        <f t="shared" si="2"/>
        <v>0</v>
      </c>
      <c r="AI13" s="80">
        <f t="shared" si="2"/>
        <v>162</v>
      </c>
      <c r="AJ13" s="80">
        <f t="shared" si="2"/>
        <v>548</v>
      </c>
      <c r="AK13" s="80">
        <f t="shared" si="2"/>
        <v>47</v>
      </c>
    </row>
    <row r="14" spans="1:37" ht="15.5" x14ac:dyDescent="0.35">
      <c r="D14" s="2"/>
      <c r="E14" s="2"/>
      <c r="F14" s="2"/>
      <c r="G14" s="2"/>
      <c r="H14" s="2"/>
      <c r="I14" s="2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/>
      <c r="AI14" s="4"/>
    </row>
    <row r="15" spans="1:37" x14ac:dyDescent="0.35">
      <c r="J15" s="106" t="s">
        <v>15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</sheetData>
  <mergeCells count="3">
    <mergeCell ref="U1:Y1"/>
    <mergeCell ref="AA1:AC1"/>
    <mergeCell ref="J15:AJ1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2AC2-FC70-4E08-87FF-BF45867B68FC}">
  <dimension ref="A1:AJ15"/>
  <sheetViews>
    <sheetView tabSelected="1" zoomScale="85" zoomScaleNormal="85" workbookViewId="0">
      <selection activeCell="M4" sqref="M4"/>
    </sheetView>
  </sheetViews>
  <sheetFormatPr defaultRowHeight="14.5" x14ac:dyDescent="0.35"/>
  <cols>
    <col min="1" max="1" width="15.90625" customWidth="1"/>
    <col min="2" max="2" width="10.6328125" customWidth="1"/>
    <col min="3" max="3" width="7" customWidth="1"/>
    <col min="4" max="4" width="7.36328125" customWidth="1"/>
    <col min="5" max="12" width="2.6328125" customWidth="1"/>
    <col min="13" max="13" width="3.36328125" customWidth="1"/>
    <col min="14" max="15" width="3.08984375" customWidth="1"/>
    <col min="16" max="16" width="2.90625" customWidth="1"/>
    <col min="17" max="17" width="3.36328125" customWidth="1"/>
    <col min="18" max="18" width="3.453125" customWidth="1"/>
    <col min="19" max="19" width="3.08984375" customWidth="1"/>
    <col min="20" max="21" width="3.36328125" customWidth="1"/>
    <col min="22" max="22" width="3.453125" customWidth="1"/>
    <col min="23" max="23" width="3.08984375" customWidth="1"/>
    <col min="24" max="24" width="3" customWidth="1"/>
    <col min="25" max="25" width="3.08984375" customWidth="1"/>
    <col min="26" max="28" width="3" customWidth="1"/>
    <col min="29" max="33" width="3.08984375" customWidth="1"/>
    <col min="34" max="34" width="6.90625" customWidth="1"/>
    <col min="35" max="35" width="5.36328125" customWidth="1"/>
    <col min="36" max="36" width="4.90625" customWidth="1"/>
  </cols>
  <sheetData>
    <row r="1" spans="1:36" ht="18.5" x14ac:dyDescent="0.45">
      <c r="B1" s="10" t="s">
        <v>8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s="104" t="s">
        <v>29</v>
      </c>
      <c r="V1" s="104"/>
      <c r="W1" s="104"/>
      <c r="X1" s="104"/>
      <c r="Y1" s="104"/>
      <c r="AA1" s="105">
        <v>2026</v>
      </c>
      <c r="AB1" s="105"/>
      <c r="AC1" s="105"/>
    </row>
    <row r="2" spans="1:36" ht="96.65" customHeight="1" x14ac:dyDescent="0.35">
      <c r="A2" s="5"/>
      <c r="B2" s="6"/>
      <c r="C2" s="69" t="s">
        <v>1</v>
      </c>
      <c r="D2" s="70">
        <v>1</v>
      </c>
      <c r="E2" s="70">
        <v>2</v>
      </c>
      <c r="F2" s="70">
        <v>3</v>
      </c>
      <c r="G2" s="70">
        <v>4</v>
      </c>
      <c r="H2" s="70">
        <v>5</v>
      </c>
      <c r="I2" s="70">
        <v>6</v>
      </c>
      <c r="J2" s="71">
        <v>7</v>
      </c>
      <c r="K2" s="71">
        <v>8</v>
      </c>
      <c r="L2" s="70">
        <v>9</v>
      </c>
      <c r="M2" s="70">
        <v>10</v>
      </c>
      <c r="N2" s="70">
        <v>11</v>
      </c>
      <c r="O2" s="70">
        <v>12</v>
      </c>
      <c r="P2" s="70">
        <v>13</v>
      </c>
      <c r="Q2" s="70">
        <v>14</v>
      </c>
      <c r="R2" s="70">
        <v>15</v>
      </c>
      <c r="S2" s="70">
        <v>16</v>
      </c>
      <c r="T2" s="70">
        <v>17</v>
      </c>
      <c r="U2" s="70">
        <v>18</v>
      </c>
      <c r="V2" s="70">
        <v>19</v>
      </c>
      <c r="W2" s="70">
        <v>20</v>
      </c>
      <c r="X2" s="70">
        <v>21</v>
      </c>
      <c r="Y2" s="70">
        <v>22</v>
      </c>
      <c r="Z2" s="70">
        <v>23</v>
      </c>
      <c r="AA2" s="70">
        <v>24</v>
      </c>
      <c r="AB2" s="70">
        <v>25</v>
      </c>
      <c r="AC2" s="70">
        <v>26</v>
      </c>
      <c r="AD2" s="70">
        <v>27</v>
      </c>
      <c r="AE2" s="70">
        <v>28</v>
      </c>
      <c r="AF2" s="70">
        <v>29</v>
      </c>
      <c r="AG2" s="70">
        <v>30</v>
      </c>
      <c r="AH2" s="20" t="s">
        <v>4</v>
      </c>
      <c r="AI2" s="21" t="s">
        <v>2</v>
      </c>
      <c r="AJ2" s="22" t="s">
        <v>3</v>
      </c>
    </row>
    <row r="3" spans="1:36" ht="15" customHeight="1" x14ac:dyDescent="0.35">
      <c r="A3" s="8" t="s">
        <v>6</v>
      </c>
      <c r="B3" s="7" t="s">
        <v>5</v>
      </c>
      <c r="C3" s="72"/>
      <c r="D3" s="73"/>
      <c r="E3" s="73"/>
      <c r="F3" s="73"/>
      <c r="G3" s="73"/>
      <c r="H3" s="73"/>
      <c r="I3" s="73"/>
      <c r="J3" s="74"/>
      <c r="K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23"/>
      <c r="AI3" s="23"/>
      <c r="AJ3" s="24"/>
    </row>
    <row r="4" spans="1:36" ht="34.25" customHeight="1" x14ac:dyDescent="0.35">
      <c r="A4" s="11" t="s">
        <v>9</v>
      </c>
      <c r="B4" s="9" t="s">
        <v>11</v>
      </c>
      <c r="C4" s="75">
        <v>77</v>
      </c>
      <c r="D4" s="76"/>
      <c r="E4" s="76"/>
      <c r="F4" s="76"/>
      <c r="G4" s="76"/>
      <c r="H4" s="76"/>
      <c r="I4" s="76"/>
      <c r="J4" s="77"/>
      <c r="K4" s="77">
        <v>2</v>
      </c>
      <c r="L4" s="76">
        <v>9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8">
        <f t="shared" ref="AH4:AH11" si="0">SUM(D4:AG4)</f>
        <v>11</v>
      </c>
      <c r="AI4" s="79">
        <f>'Mai 2026'!AJ4 + AH4</f>
        <v>77</v>
      </c>
      <c r="AJ4" s="80">
        <f t="shared" ref="AJ4:AJ11" si="1">C4-AI4</f>
        <v>0</v>
      </c>
    </row>
    <row r="5" spans="1:36" ht="24" x14ac:dyDescent="0.35">
      <c r="A5" s="16" t="s">
        <v>9</v>
      </c>
      <c r="B5" s="9" t="s">
        <v>12</v>
      </c>
      <c r="C5" s="75">
        <v>78</v>
      </c>
      <c r="D5" s="76"/>
      <c r="E5" s="76"/>
      <c r="F5" s="76"/>
      <c r="G5" s="76"/>
      <c r="H5" s="76"/>
      <c r="I5" s="76"/>
      <c r="J5" s="77"/>
      <c r="K5" s="77"/>
      <c r="L5" s="76"/>
      <c r="M5" s="76">
        <v>2</v>
      </c>
      <c r="N5" s="76">
        <v>10</v>
      </c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8">
        <f t="shared" si="0"/>
        <v>12</v>
      </c>
      <c r="AI5" s="79">
        <f>'Mai 2026'!AJ5 + AH5</f>
        <v>78</v>
      </c>
      <c r="AJ5" s="80">
        <f t="shared" si="1"/>
        <v>0</v>
      </c>
    </row>
    <row r="6" spans="1:36" ht="26.5" x14ac:dyDescent="0.35">
      <c r="A6" s="12" t="s">
        <v>10</v>
      </c>
      <c r="B6" s="14" t="s">
        <v>13</v>
      </c>
      <c r="C6" s="75">
        <v>40</v>
      </c>
      <c r="D6" s="76"/>
      <c r="E6" s="76"/>
      <c r="F6" s="76"/>
      <c r="G6" s="76"/>
      <c r="H6" s="76"/>
      <c r="I6" s="76"/>
      <c r="J6" s="77"/>
      <c r="K6" s="77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8">
        <f t="shared" si="0"/>
        <v>0</v>
      </c>
      <c r="AI6" s="79">
        <f>'Mai 2026'!AJ6 + AH6</f>
        <v>40</v>
      </c>
      <c r="AJ6" s="80">
        <f t="shared" si="1"/>
        <v>0</v>
      </c>
    </row>
    <row r="7" spans="1:36" ht="26.5" x14ac:dyDescent="0.35">
      <c r="A7" s="12" t="s">
        <v>10</v>
      </c>
      <c r="B7" s="15" t="s">
        <v>14</v>
      </c>
      <c r="C7" s="81">
        <v>40</v>
      </c>
      <c r="D7" s="82"/>
      <c r="E7" s="82"/>
      <c r="F7" s="82"/>
      <c r="G7" s="82"/>
      <c r="H7" s="82"/>
      <c r="I7" s="82"/>
      <c r="J7" s="83"/>
      <c r="K7" s="8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78">
        <f t="shared" si="0"/>
        <v>0</v>
      </c>
      <c r="AI7" s="79">
        <f>'Mai 2026'!AJ7 + AH7</f>
        <v>40</v>
      </c>
      <c r="AJ7" s="80">
        <f t="shared" si="1"/>
        <v>0</v>
      </c>
    </row>
    <row r="8" spans="1:36" x14ac:dyDescent="0.35">
      <c r="A8" s="17" t="s">
        <v>18</v>
      </c>
      <c r="B8" s="14" t="s">
        <v>16</v>
      </c>
      <c r="C8" s="84">
        <v>120</v>
      </c>
      <c r="D8" s="73"/>
      <c r="E8" s="73"/>
      <c r="F8" s="73"/>
      <c r="G8" s="73"/>
      <c r="H8" s="73"/>
      <c r="I8" s="73"/>
      <c r="J8" s="74"/>
      <c r="K8" s="74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8">
        <f t="shared" si="0"/>
        <v>0</v>
      </c>
      <c r="AI8" s="79">
        <f>'Mai 2026'!AJ8 + AH8</f>
        <v>120</v>
      </c>
      <c r="AJ8" s="80">
        <f t="shared" si="1"/>
        <v>0</v>
      </c>
    </row>
    <row r="9" spans="1:36" ht="26" x14ac:dyDescent="0.35">
      <c r="A9" s="18" t="s">
        <v>21</v>
      </c>
      <c r="B9" s="14" t="s">
        <v>17</v>
      </c>
      <c r="C9" s="84">
        <v>90</v>
      </c>
      <c r="D9" s="73"/>
      <c r="E9" s="73"/>
      <c r="F9" s="73"/>
      <c r="G9" s="73"/>
      <c r="H9" s="73"/>
      <c r="I9" s="73"/>
      <c r="J9" s="74"/>
      <c r="K9" s="74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8">
        <f t="shared" si="0"/>
        <v>0</v>
      </c>
      <c r="AI9" s="79">
        <f>'Mai 2026'!AJ9 + AH9</f>
        <v>90</v>
      </c>
      <c r="AJ9" s="80">
        <f t="shared" si="1"/>
        <v>0</v>
      </c>
    </row>
    <row r="10" spans="1:36" x14ac:dyDescent="0.35">
      <c r="A10" s="19" t="s">
        <v>20</v>
      </c>
      <c r="B10" s="14" t="s">
        <v>12</v>
      </c>
      <c r="C10" s="84">
        <v>90</v>
      </c>
      <c r="D10" s="73"/>
      <c r="E10" s="73"/>
      <c r="F10" s="73"/>
      <c r="G10" s="73"/>
      <c r="H10" s="73"/>
      <c r="I10" s="73"/>
      <c r="J10" s="74"/>
      <c r="K10" s="74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8">
        <f t="shared" si="0"/>
        <v>0</v>
      </c>
      <c r="AI10" s="79">
        <f>'Mai 2026'!AJ10 + AH10</f>
        <v>90</v>
      </c>
      <c r="AJ10" s="80">
        <f t="shared" si="1"/>
        <v>0</v>
      </c>
    </row>
    <row r="11" spans="1:36" ht="40.25" customHeight="1" x14ac:dyDescent="0.35">
      <c r="A11" s="68" t="s">
        <v>19</v>
      </c>
      <c r="B11" s="65" t="s">
        <v>13</v>
      </c>
      <c r="C11" s="86">
        <v>60</v>
      </c>
      <c r="D11" s="70"/>
      <c r="E11" s="70"/>
      <c r="F11" s="70">
        <v>8</v>
      </c>
      <c r="G11" s="70"/>
      <c r="H11" s="70"/>
      <c r="I11" s="70"/>
      <c r="J11" s="70"/>
      <c r="K11" s="70"/>
      <c r="L11" s="70"/>
      <c r="M11" s="70">
        <v>8</v>
      </c>
      <c r="N11" s="70"/>
      <c r="O11" s="70"/>
      <c r="P11" s="70"/>
      <c r="Q11" s="70"/>
      <c r="R11" s="70"/>
      <c r="S11" s="70"/>
      <c r="T11" s="70">
        <v>8</v>
      </c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87">
        <f t="shared" si="0"/>
        <v>24</v>
      </c>
      <c r="AI11" s="79">
        <f>'Mai 2026'!AJ11 + AH11</f>
        <v>60</v>
      </c>
      <c r="AJ11" s="89">
        <f t="shared" si="1"/>
        <v>0</v>
      </c>
    </row>
    <row r="12" spans="1:36" x14ac:dyDescent="0.35">
      <c r="A12" s="13"/>
      <c r="B12" s="66"/>
      <c r="C12" s="90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85"/>
      <c r="AI12" s="85"/>
      <c r="AJ12" s="80"/>
    </row>
    <row r="13" spans="1:36" x14ac:dyDescent="0.35">
      <c r="A13" s="67" t="s">
        <v>7</v>
      </c>
      <c r="B13" s="67"/>
      <c r="C13" s="90">
        <v>595</v>
      </c>
      <c r="D13" s="84">
        <f t="shared" ref="D13:AJ13" si="2">SUM(D4:D11)</f>
        <v>0</v>
      </c>
      <c r="E13" s="84">
        <f t="shared" si="2"/>
        <v>0</v>
      </c>
      <c r="F13" s="84">
        <f t="shared" si="2"/>
        <v>8</v>
      </c>
      <c r="G13" s="84">
        <f t="shared" si="2"/>
        <v>0</v>
      </c>
      <c r="H13" s="84">
        <f t="shared" si="2"/>
        <v>0</v>
      </c>
      <c r="I13" s="84">
        <f t="shared" si="2"/>
        <v>0</v>
      </c>
      <c r="J13" s="84">
        <f t="shared" si="2"/>
        <v>0</v>
      </c>
      <c r="K13" s="84">
        <f t="shared" si="2"/>
        <v>2</v>
      </c>
      <c r="L13" s="84">
        <f t="shared" si="2"/>
        <v>9</v>
      </c>
      <c r="M13" s="84">
        <f t="shared" si="2"/>
        <v>10</v>
      </c>
      <c r="N13" s="84">
        <f t="shared" si="2"/>
        <v>10</v>
      </c>
      <c r="O13" s="84">
        <f t="shared" si="2"/>
        <v>0</v>
      </c>
      <c r="P13" s="84">
        <f t="shared" si="2"/>
        <v>0</v>
      </c>
      <c r="Q13" s="84">
        <f t="shared" si="2"/>
        <v>0</v>
      </c>
      <c r="R13" s="84">
        <f t="shared" si="2"/>
        <v>0</v>
      </c>
      <c r="S13" s="84">
        <f t="shared" si="2"/>
        <v>0</v>
      </c>
      <c r="T13" s="84">
        <f t="shared" si="2"/>
        <v>8</v>
      </c>
      <c r="U13" s="84">
        <f t="shared" si="2"/>
        <v>0</v>
      </c>
      <c r="V13" s="84">
        <f t="shared" si="2"/>
        <v>0</v>
      </c>
      <c r="W13" s="84">
        <f t="shared" si="2"/>
        <v>0</v>
      </c>
      <c r="X13" s="84">
        <f t="shared" si="2"/>
        <v>0</v>
      </c>
      <c r="Y13" s="84">
        <f t="shared" si="2"/>
        <v>0</v>
      </c>
      <c r="Z13" s="84">
        <f t="shared" si="2"/>
        <v>0</v>
      </c>
      <c r="AA13" s="84">
        <f t="shared" si="2"/>
        <v>0</v>
      </c>
      <c r="AB13" s="84">
        <f t="shared" si="2"/>
        <v>0</v>
      </c>
      <c r="AC13" s="84">
        <f t="shared" si="2"/>
        <v>0</v>
      </c>
      <c r="AD13" s="84">
        <f t="shared" si="2"/>
        <v>0</v>
      </c>
      <c r="AE13" s="84">
        <f t="shared" si="2"/>
        <v>0</v>
      </c>
      <c r="AF13" s="84">
        <f t="shared" si="2"/>
        <v>0</v>
      </c>
      <c r="AG13" s="84">
        <f t="shared" si="2"/>
        <v>0</v>
      </c>
      <c r="AH13" s="80">
        <f t="shared" si="2"/>
        <v>47</v>
      </c>
      <c r="AI13" s="80">
        <f t="shared" si="2"/>
        <v>595</v>
      </c>
      <c r="AJ13" s="80">
        <f t="shared" si="2"/>
        <v>0</v>
      </c>
    </row>
    <row r="14" spans="1:36" ht="15.5" x14ac:dyDescent="0.35">
      <c r="D14" s="2"/>
      <c r="E14" s="2"/>
      <c r="F14" s="2"/>
      <c r="G14" s="2"/>
      <c r="H14" s="2"/>
      <c r="I14" s="2"/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/>
      <c r="AI14" s="4"/>
    </row>
    <row r="15" spans="1:36" x14ac:dyDescent="0.35">
      <c r="J15" s="106" t="s">
        <v>15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</sheetData>
  <mergeCells count="3">
    <mergeCell ref="U1:Y1"/>
    <mergeCell ref="AA1:AC1"/>
    <mergeCell ref="J15:AJ1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Ianuarie 2026</vt:lpstr>
      <vt:lpstr>Februarie 2026</vt:lpstr>
      <vt:lpstr>Martie 2026</vt:lpstr>
      <vt:lpstr>Aprilie 2026</vt:lpstr>
      <vt:lpstr>Mai 2026</vt:lpstr>
      <vt:lpstr>Iunie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Cazacu-Condrat Dumitru</cp:lastModifiedBy>
  <cp:lastPrinted>2026-01-14T07:12:34Z</cp:lastPrinted>
  <dcterms:created xsi:type="dcterms:W3CDTF">2017-04-28T05:07:59Z</dcterms:created>
  <dcterms:modified xsi:type="dcterms:W3CDTF">2026-05-30T14:01:43Z</dcterms:modified>
</cp:coreProperties>
</file>